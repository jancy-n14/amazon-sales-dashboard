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a6d01482d0d8485/Desktop/Jancy N Projects/"/>
    </mc:Choice>
  </mc:AlternateContent>
  <xr:revisionPtr revIDLastSave="2176" documentId="8_{D57799DE-1D09-4A2E-AF59-AE4FA6C01BF3}" xr6:coauthVersionLast="47" xr6:coauthVersionMax="47" xr10:uidLastSave="{333CC0A4-02CA-4D28-96EE-9EE712B2E10B}"/>
  <bookViews>
    <workbookView xWindow="-108" yWindow="-108" windowWidth="23256" windowHeight="12456" xr2:uid="{80B3B757-169E-45B6-89C9-D705E5FE94D5}"/>
  </bookViews>
  <sheets>
    <sheet name="Dashboard" sheetId="4" r:id="rId1"/>
    <sheet name="Pivot" sheetId="3" r:id="rId2"/>
    <sheet name="Data" sheetId="2" r:id="rId3"/>
  </sheets>
  <definedNames>
    <definedName name="_xlchart.v5.0" hidden="1">Pivot!$AE$2</definedName>
    <definedName name="_xlchart.v5.1" hidden="1">Pivot!$AE$3:$AE$9</definedName>
    <definedName name="_xlchart.v5.2" hidden="1">Pivot!$AF$2</definedName>
    <definedName name="_xlchart.v5.3" hidden="1">Pivot!$AF$3:$AF$9</definedName>
    <definedName name="_xlchart.v5.4" hidden="1">Pivot!$AE$2</definedName>
    <definedName name="_xlchart.v5.5" hidden="1">Pivot!$AE$3:$AE$9</definedName>
    <definedName name="_xlchart.v5.6" hidden="1">Pivot!$AF$2</definedName>
    <definedName name="_xlchart.v5.7" hidden="1">Pivot!$AF$3:$AF$9</definedName>
    <definedName name="Slicer_Month">#N/A</definedName>
    <definedName name="Slicer_Payment_Method">#N/A</definedName>
    <definedName name="Slicer_Seller">#N/A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3" l="1"/>
  <c r="AE3" i="3"/>
  <c r="AF3" i="3"/>
  <c r="AF4" i="3"/>
  <c r="AF6" i="3"/>
  <c r="AF7" i="3"/>
  <c r="AF8" i="3"/>
  <c r="AF5" i="3"/>
  <c r="AE4" i="3"/>
  <c r="AE5" i="3"/>
  <c r="AE6" i="3"/>
  <c r="AE7" i="3"/>
  <c r="AE8" i="3"/>
  <c r="Z4" i="3"/>
  <c r="W4" i="3"/>
  <c r="X4" i="3"/>
  <c r="Y4" i="3"/>
  <c r="W5" i="3"/>
  <c r="X5" i="3"/>
  <c r="Y5" i="3"/>
  <c r="Z5" i="3"/>
  <c r="W6" i="3"/>
  <c r="X6" i="3"/>
  <c r="Y6" i="3"/>
  <c r="Z6" i="3"/>
  <c r="X7" i="3"/>
  <c r="Y7" i="3"/>
  <c r="Z7" i="3"/>
  <c r="W8" i="3"/>
  <c r="X8" i="3"/>
  <c r="Y8" i="3"/>
  <c r="Z8" i="3"/>
  <c r="W9" i="3"/>
  <c r="X9" i="3"/>
  <c r="Y9" i="3"/>
  <c r="Z9" i="3"/>
  <c r="V9" i="3"/>
  <c r="V5" i="3"/>
  <c r="V6" i="3"/>
  <c r="V7" i="3"/>
  <c r="V8" i="3"/>
  <c r="V4" i="3"/>
  <c r="Z10" i="3" l="1"/>
  <c r="AF9" i="3"/>
  <c r="AG4" i="3" s="1"/>
  <c r="AG5" i="3" l="1"/>
  <c r="AG9" i="3"/>
  <c r="AG3" i="3"/>
  <c r="AG8" i="3"/>
  <c r="AG7" i="3"/>
  <c r="AG6" i="3"/>
</calcChain>
</file>

<file path=xl/sharedStrings.xml><?xml version="1.0" encoding="utf-8"?>
<sst xmlns="http://schemas.openxmlformats.org/spreadsheetml/2006/main" count="6583" uniqueCount="872">
  <si>
    <t>Order_ID</t>
  </si>
  <si>
    <t>Date</t>
  </si>
  <si>
    <t>Customer_Name</t>
  </si>
  <si>
    <t>Product</t>
  </si>
  <si>
    <t>Category</t>
  </si>
  <si>
    <t>State</t>
  </si>
  <si>
    <t>Seller</t>
  </si>
  <si>
    <t>Payment_Method</t>
  </si>
  <si>
    <t>Sales</t>
  </si>
  <si>
    <t>Quantity</t>
  </si>
  <si>
    <t>Rating</t>
  </si>
  <si>
    <t>Delivery</t>
  </si>
  <si>
    <t>Month</t>
  </si>
  <si>
    <t>ORD10001</t>
  </si>
  <si>
    <t>21/05/2025</t>
  </si>
  <si>
    <t>Rohit</t>
  </si>
  <si>
    <t>Shampoo</t>
  </si>
  <si>
    <t>Beauty</t>
  </si>
  <si>
    <t>Karnataka</t>
  </si>
  <si>
    <t>BookWorld</t>
  </si>
  <si>
    <t>Cash</t>
  </si>
  <si>
    <t>May</t>
  </si>
  <si>
    <t>ORD10002</t>
  </si>
  <si>
    <t>15/10/2025</t>
  </si>
  <si>
    <t>Kavya</t>
  </si>
  <si>
    <t>Chair</t>
  </si>
  <si>
    <t>Home</t>
  </si>
  <si>
    <t>Gujrat</t>
  </si>
  <si>
    <t>TechStore</t>
  </si>
  <si>
    <t>Net Banking</t>
  </si>
  <si>
    <t>Oct</t>
  </si>
  <si>
    <t>ORD10003</t>
  </si>
  <si>
    <t>21/04/2025</t>
  </si>
  <si>
    <t>Neha</t>
  </si>
  <si>
    <t>iPhone 15</t>
  </si>
  <si>
    <t>Electronics</t>
  </si>
  <si>
    <t>Card</t>
  </si>
  <si>
    <t>Apr</t>
  </si>
  <si>
    <t>ORD10004</t>
  </si>
  <si>
    <t>10/10/2025</t>
  </si>
  <si>
    <t>Rahul</t>
  </si>
  <si>
    <t>Shoes</t>
  </si>
  <si>
    <t>Fashion</t>
  </si>
  <si>
    <t>ORD10005</t>
  </si>
  <si>
    <t>21/08/2025</t>
  </si>
  <si>
    <t>Akash</t>
  </si>
  <si>
    <t>Jeans</t>
  </si>
  <si>
    <t>Aug</t>
  </si>
  <si>
    <t>ORD10006</t>
  </si>
  <si>
    <t>14/07/2025</t>
  </si>
  <si>
    <t>Anjali</t>
  </si>
  <si>
    <t>Business Book</t>
  </si>
  <si>
    <t>Books</t>
  </si>
  <si>
    <t>Telangana</t>
  </si>
  <si>
    <t>BeautyCare</t>
  </si>
  <si>
    <t>Jul</t>
  </si>
  <si>
    <t>ORD10007</t>
  </si>
  <si>
    <t>19/04/2025</t>
  </si>
  <si>
    <t>Divya</t>
  </si>
  <si>
    <t>Bedsheet</t>
  </si>
  <si>
    <t>Maharashtra</t>
  </si>
  <si>
    <t>ORD10008</t>
  </si>
  <si>
    <t>18/09/2025</t>
  </si>
  <si>
    <t>Python Book</t>
  </si>
  <si>
    <t>UPI</t>
  </si>
  <si>
    <t>Sep</t>
  </si>
  <si>
    <t>ORD10009</t>
  </si>
  <si>
    <t>28/09/2025</t>
  </si>
  <si>
    <t>Arjun</t>
  </si>
  <si>
    <t>Lamp</t>
  </si>
  <si>
    <t>ORD10010</t>
  </si>
  <si>
    <t>15/05/2025</t>
  </si>
  <si>
    <t>Ali</t>
  </si>
  <si>
    <t>ORD10011</t>
  </si>
  <si>
    <t>08/09/2025</t>
  </si>
  <si>
    <t>Vikas</t>
  </si>
  <si>
    <t>ORD10012</t>
  </si>
  <si>
    <t>07/03/2025</t>
  </si>
  <si>
    <t>Naveen</t>
  </si>
  <si>
    <t>Mixer</t>
  </si>
  <si>
    <t>Mar</t>
  </si>
  <si>
    <t>ORD10013</t>
  </si>
  <si>
    <t>13/08/2025</t>
  </si>
  <si>
    <t>Delhi</t>
  </si>
  <si>
    <t>ORD10014</t>
  </si>
  <si>
    <t>04/02/2025</t>
  </si>
  <si>
    <t>Perfume</t>
  </si>
  <si>
    <t>Feb</t>
  </si>
  <si>
    <t>ORD10015</t>
  </si>
  <si>
    <t>08/04/2025</t>
  </si>
  <si>
    <t>Watch</t>
  </si>
  <si>
    <t>ORD10016</t>
  </si>
  <si>
    <t>09/04/2025</t>
  </si>
  <si>
    <t>ORD10017</t>
  </si>
  <si>
    <t>17/02/2025</t>
  </si>
  <si>
    <t>ORD10018</t>
  </si>
  <si>
    <t>27/05/2025</t>
  </si>
  <si>
    <t>AirPods Pro</t>
  </si>
  <si>
    <t>ORD10019</t>
  </si>
  <si>
    <t>27/10/2025</t>
  </si>
  <si>
    <t>Tamil Nadu</t>
  </si>
  <si>
    <t>ORD10020</t>
  </si>
  <si>
    <t>19/10/2025</t>
  </si>
  <si>
    <t>Priya</t>
  </si>
  <si>
    <t>HomeMart</t>
  </si>
  <si>
    <t>ORD10021</t>
  </si>
  <si>
    <t>09/03/2025</t>
  </si>
  <si>
    <t>ORD10022</t>
  </si>
  <si>
    <t>05/02/2025</t>
  </si>
  <si>
    <t>Cookbook</t>
  </si>
  <si>
    <t>ORD10023</t>
  </si>
  <si>
    <t>24/02/2025</t>
  </si>
  <si>
    <t>Pooja</t>
  </si>
  <si>
    <t>Laptop</t>
  </si>
  <si>
    <t>ORD10024</t>
  </si>
  <si>
    <t>22/05/2025</t>
  </si>
  <si>
    <t>Lipstick</t>
  </si>
  <si>
    <t>ORD10025</t>
  </si>
  <si>
    <t>20/12/2025</t>
  </si>
  <si>
    <t>Dec</t>
  </si>
  <si>
    <t>ORD10026</t>
  </si>
  <si>
    <t>16/12/2025</t>
  </si>
  <si>
    <t>Aman</t>
  </si>
  <si>
    <t>ORD10027</t>
  </si>
  <si>
    <t>20/06/2025</t>
  </si>
  <si>
    <t>Sanjay</t>
  </si>
  <si>
    <t>Jun</t>
  </si>
  <si>
    <t>ORD10028</t>
  </si>
  <si>
    <t>27/04/2025</t>
  </si>
  <si>
    <t>Kiran</t>
  </si>
  <si>
    <t>MacBook Air</t>
  </si>
  <si>
    <t>ORD10029</t>
  </si>
  <si>
    <t>14/05/2025</t>
  </si>
  <si>
    <t>Vijay</t>
  </si>
  <si>
    <t>ORD10030</t>
  </si>
  <si>
    <t>11/05/2025</t>
  </si>
  <si>
    <t>ORD10031</t>
  </si>
  <si>
    <t>06/12/2025</t>
  </si>
  <si>
    <t>ORD10032</t>
  </si>
  <si>
    <t>13/12/2025</t>
  </si>
  <si>
    <t>ORD10033</t>
  </si>
  <si>
    <t>12/12/2025</t>
  </si>
  <si>
    <t>ORD10034</t>
  </si>
  <si>
    <t>13/01/2025</t>
  </si>
  <si>
    <t>Jan</t>
  </si>
  <si>
    <t>ORD10035</t>
  </si>
  <si>
    <t>Meena</t>
  </si>
  <si>
    <t>Novel</t>
  </si>
  <si>
    <t>ORD10036</t>
  </si>
  <si>
    <t>08/10/2025</t>
  </si>
  <si>
    <t>ORD10037</t>
  </si>
  <si>
    <t>ORD10038</t>
  </si>
  <si>
    <t>28/07/2025</t>
  </si>
  <si>
    <t>ORD10039</t>
  </si>
  <si>
    <t>30/06/2025</t>
  </si>
  <si>
    <t>ORD10040</t>
  </si>
  <si>
    <t>22/06/2025</t>
  </si>
  <si>
    <t>ORD10041</t>
  </si>
  <si>
    <t>25/08/2025</t>
  </si>
  <si>
    <t>T-Shirt</t>
  </si>
  <si>
    <t>ORD10042</t>
  </si>
  <si>
    <t>10/01/2025</t>
  </si>
  <si>
    <t>ORD10043</t>
  </si>
  <si>
    <t>09/12/2025</t>
  </si>
  <si>
    <t>ORD10044</t>
  </si>
  <si>
    <t>Sony Headphones</t>
  </si>
  <si>
    <t>ORD10045</t>
  </si>
  <si>
    <t>05/12/2025</t>
  </si>
  <si>
    <t>ORD10046</t>
  </si>
  <si>
    <t>25/09/2025</t>
  </si>
  <si>
    <t>Sneha</t>
  </si>
  <si>
    <t>ORD10047</t>
  </si>
  <si>
    <t>26/08/2025</t>
  </si>
  <si>
    <t>ORD10048</t>
  </si>
  <si>
    <t>22/09/2025</t>
  </si>
  <si>
    <t>ORD10049</t>
  </si>
  <si>
    <t>27/07/2025</t>
  </si>
  <si>
    <t>ORD10050</t>
  </si>
  <si>
    <t>29/04/2025</t>
  </si>
  <si>
    <t>Ria</t>
  </si>
  <si>
    <t>ORD10051</t>
  </si>
  <si>
    <t>21/02/2025</t>
  </si>
  <si>
    <t>ORD10052</t>
  </si>
  <si>
    <t>22/02/2025</t>
  </si>
  <si>
    <t>ORD10053</t>
  </si>
  <si>
    <t>07/02/2025</t>
  </si>
  <si>
    <t>ORD10054</t>
  </si>
  <si>
    <t>02/06/2025</t>
  </si>
  <si>
    <t>ORD10055</t>
  </si>
  <si>
    <t>22/03/2025</t>
  </si>
  <si>
    <t>ORD10056</t>
  </si>
  <si>
    <t>17/11/2025</t>
  </si>
  <si>
    <t>Nov</t>
  </si>
  <si>
    <t>ORD10057</t>
  </si>
  <si>
    <t>ORD10058</t>
  </si>
  <si>
    <t>09/05/2025</t>
  </si>
  <si>
    <t>ORD10059</t>
  </si>
  <si>
    <t>23/05/2025</t>
  </si>
  <si>
    <t>ORD10060</t>
  </si>
  <si>
    <t>22/12/2025</t>
  </si>
  <si>
    <t>ORD10061</t>
  </si>
  <si>
    <t>31/07/2025</t>
  </si>
  <si>
    <t>ORD10062</t>
  </si>
  <si>
    <t>04/03/2025</t>
  </si>
  <si>
    <t>ORD10063</t>
  </si>
  <si>
    <t>13/09/2025</t>
  </si>
  <si>
    <t>ORD10064</t>
  </si>
  <si>
    <t>24/06/2025</t>
  </si>
  <si>
    <t>ORD10065</t>
  </si>
  <si>
    <t>06/10/2025</t>
  </si>
  <si>
    <t>ORD10066</t>
  </si>
  <si>
    <t>11/09/2025</t>
  </si>
  <si>
    <t>ORD10067</t>
  </si>
  <si>
    <t>02/12/2025</t>
  </si>
  <si>
    <t>ORD10068</t>
  </si>
  <si>
    <t>13/11/2025</t>
  </si>
  <si>
    <t>ORD10069</t>
  </si>
  <si>
    <t>29/01/2025</t>
  </si>
  <si>
    <t>Face Wash</t>
  </si>
  <si>
    <t>ORD10070</t>
  </si>
  <si>
    <t>12/09/2025</t>
  </si>
  <si>
    <t>ORD10071</t>
  </si>
  <si>
    <t>28/10/2025</t>
  </si>
  <si>
    <t>ORD10072</t>
  </si>
  <si>
    <t>22/10/2025</t>
  </si>
  <si>
    <t>ORD10073</t>
  </si>
  <si>
    <t>23/04/2025</t>
  </si>
  <si>
    <t>ORD10074</t>
  </si>
  <si>
    <t>01/06/2025</t>
  </si>
  <si>
    <t>ORD10075</t>
  </si>
  <si>
    <t>ORD10076</t>
  </si>
  <si>
    <t>02/10/2025</t>
  </si>
  <si>
    <t>ORD10077</t>
  </si>
  <si>
    <t>09/11/2025</t>
  </si>
  <si>
    <t>ORD10078</t>
  </si>
  <si>
    <t>01/05/2025</t>
  </si>
  <si>
    <t>ORD10079</t>
  </si>
  <si>
    <t>24/05/2025</t>
  </si>
  <si>
    <t>ORD10080</t>
  </si>
  <si>
    <t>ORD10081</t>
  </si>
  <si>
    <t>ORD10082</t>
  </si>
  <si>
    <t>ORD10083</t>
  </si>
  <si>
    <t>02/02/2025</t>
  </si>
  <si>
    <t>ORD10084</t>
  </si>
  <si>
    <t>03/09/2025</t>
  </si>
  <si>
    <t>ORD10085</t>
  </si>
  <si>
    <t>21/11/2025</t>
  </si>
  <si>
    <t>ORD10086</t>
  </si>
  <si>
    <t>ORD10087</t>
  </si>
  <si>
    <t>ORD10088</t>
  </si>
  <si>
    <t>04/11/2025</t>
  </si>
  <si>
    <t>ORD10089</t>
  </si>
  <si>
    <t>21/10/2025</t>
  </si>
  <si>
    <t>ORD10090</t>
  </si>
  <si>
    <t>ORD10091</t>
  </si>
  <si>
    <t>02/11/2025</t>
  </si>
  <si>
    <t>ORD10092</t>
  </si>
  <si>
    <t>01/08/2025</t>
  </si>
  <si>
    <t>ORD10093</t>
  </si>
  <si>
    <t>03/11/2025</t>
  </si>
  <si>
    <t>ORD10094</t>
  </si>
  <si>
    <t>08/03/2025</t>
  </si>
  <si>
    <t>ORD10095</t>
  </si>
  <si>
    <t>09/02/2025</t>
  </si>
  <si>
    <t>ORD10096</t>
  </si>
  <si>
    <t>ORD10097</t>
  </si>
  <si>
    <t>ORD10098</t>
  </si>
  <si>
    <t>05/11/2025</t>
  </si>
  <si>
    <t>ORD10099</t>
  </si>
  <si>
    <t>ORD10100</t>
  </si>
  <si>
    <t>ORD10101</t>
  </si>
  <si>
    <t>14/09/2025</t>
  </si>
  <si>
    <t>ORD10102</t>
  </si>
  <si>
    <t>06/07/2025</t>
  </si>
  <si>
    <t>ORD10103</t>
  </si>
  <si>
    <t>03/12/2025</t>
  </si>
  <si>
    <t>ORD10104</t>
  </si>
  <si>
    <t>26/11/2025</t>
  </si>
  <si>
    <t>ORD10105</t>
  </si>
  <si>
    <t>06/09/2025</t>
  </si>
  <si>
    <t>ORD10106</t>
  </si>
  <si>
    <t>ORD10107</t>
  </si>
  <si>
    <t>18/08/2025</t>
  </si>
  <si>
    <t>ORD10108</t>
  </si>
  <si>
    <t>06/11/2025</t>
  </si>
  <si>
    <t>ORD10109</t>
  </si>
  <si>
    <t>12/08/2025</t>
  </si>
  <si>
    <t>ORD10110</t>
  </si>
  <si>
    <t>13/06/2025</t>
  </si>
  <si>
    <t>ORD10111</t>
  </si>
  <si>
    <t>10/02/2025</t>
  </si>
  <si>
    <t>ORD10112</t>
  </si>
  <si>
    <t>03/08/2025</t>
  </si>
  <si>
    <t>ORD10113</t>
  </si>
  <si>
    <t>04/05/2025</t>
  </si>
  <si>
    <t>ORD10114</t>
  </si>
  <si>
    <t>09/01/2025</t>
  </si>
  <si>
    <t>ORD10115</t>
  </si>
  <si>
    <t>23/12/2025</t>
  </si>
  <si>
    <t>ORD10116</t>
  </si>
  <si>
    <t>23/07/2025</t>
  </si>
  <si>
    <t>ORD10117</t>
  </si>
  <si>
    <t>14/08/2025</t>
  </si>
  <si>
    <t>ORD10118</t>
  </si>
  <si>
    <t>07/10/2025</t>
  </si>
  <si>
    <t>ORD10119</t>
  </si>
  <si>
    <t>17/08/2025</t>
  </si>
  <si>
    <t>ORD10120</t>
  </si>
  <si>
    <t>16/01/2025</t>
  </si>
  <si>
    <t>ORD10121</t>
  </si>
  <si>
    <t>10/07/2025</t>
  </si>
  <si>
    <t>ORD10122</t>
  </si>
  <si>
    <t>ORD10123</t>
  </si>
  <si>
    <t>16/08/2025</t>
  </si>
  <si>
    <t>ORD10124</t>
  </si>
  <si>
    <t>ORD10125</t>
  </si>
  <si>
    <t>ORD10126</t>
  </si>
  <si>
    <t>ORD10127</t>
  </si>
  <si>
    <t>ORD10128</t>
  </si>
  <si>
    <t>16/10/2025</t>
  </si>
  <si>
    <t>ORD10129</t>
  </si>
  <si>
    <t>25/11/2025</t>
  </si>
  <si>
    <t>ORD10130</t>
  </si>
  <si>
    <t>ORD10131</t>
  </si>
  <si>
    <t>07/05/2025</t>
  </si>
  <si>
    <t>ORD10132</t>
  </si>
  <si>
    <t>21/09/2025</t>
  </si>
  <si>
    <t>ORD10133</t>
  </si>
  <si>
    <t>ORD10134</t>
  </si>
  <si>
    <t>ORD10135</t>
  </si>
  <si>
    <t>11/07/2025</t>
  </si>
  <si>
    <t>ORD10136</t>
  </si>
  <si>
    <t>18/03/2025</t>
  </si>
  <si>
    <t>ORD10137</t>
  </si>
  <si>
    <t>08/07/2025</t>
  </si>
  <si>
    <t>ORD10138</t>
  </si>
  <si>
    <t>29/03/2025</t>
  </si>
  <si>
    <t>ORD10139</t>
  </si>
  <si>
    <t>ORD10140</t>
  </si>
  <si>
    <t>ORD10141</t>
  </si>
  <si>
    <t>ORD10142</t>
  </si>
  <si>
    <t>ORD10143</t>
  </si>
  <si>
    <t>05/05/2025</t>
  </si>
  <si>
    <t>ORD10144</t>
  </si>
  <si>
    <t>09/10/2025</t>
  </si>
  <si>
    <t>ORD10145</t>
  </si>
  <si>
    <t>01/04/2025</t>
  </si>
  <si>
    <t>ORD10146</t>
  </si>
  <si>
    <t>20/05/2025</t>
  </si>
  <si>
    <t>ORD10147</t>
  </si>
  <si>
    <t>31/03/2025</t>
  </si>
  <si>
    <t>ORD10148</t>
  </si>
  <si>
    <t>16/07/2025</t>
  </si>
  <si>
    <t>ORD10149</t>
  </si>
  <si>
    <t>27/08/2025</t>
  </si>
  <si>
    <t>ORD10150</t>
  </si>
  <si>
    <t>20/03/2025</t>
  </si>
  <si>
    <t>ORD10151</t>
  </si>
  <si>
    <t>ORD10152</t>
  </si>
  <si>
    <t>16/02/2025</t>
  </si>
  <si>
    <t>ORD10153</t>
  </si>
  <si>
    <t>02/01/2025</t>
  </si>
  <si>
    <t>ORD10154</t>
  </si>
  <si>
    <t>11/03/2025</t>
  </si>
  <si>
    <t>ORD10155</t>
  </si>
  <si>
    <t>25/04/2025</t>
  </si>
  <si>
    <t>ORD10156</t>
  </si>
  <si>
    <t>27/02/2025</t>
  </si>
  <si>
    <t>ORD10157</t>
  </si>
  <si>
    <t>25/07/2025</t>
  </si>
  <si>
    <t>ORD10158</t>
  </si>
  <si>
    <t>15/03/2025</t>
  </si>
  <si>
    <t>ORD10159</t>
  </si>
  <si>
    <t>26/09/2025</t>
  </si>
  <si>
    <t>ORD10160</t>
  </si>
  <si>
    <t>ORD10161</t>
  </si>
  <si>
    <t>27/01/2025</t>
  </si>
  <si>
    <t>ORD10162</t>
  </si>
  <si>
    <t>ORD10163</t>
  </si>
  <si>
    <t>04/07/2025</t>
  </si>
  <si>
    <t>ORD10164</t>
  </si>
  <si>
    <t>11/10/2025</t>
  </si>
  <si>
    <t>ORD10165</t>
  </si>
  <si>
    <t>24/08/2025</t>
  </si>
  <si>
    <t>ORD10166</t>
  </si>
  <si>
    <t>12/03/2025</t>
  </si>
  <si>
    <t>ORD10167</t>
  </si>
  <si>
    <t>30/09/2025</t>
  </si>
  <si>
    <t>ORD10168</t>
  </si>
  <si>
    <t>ORD10169</t>
  </si>
  <si>
    <t>ORD10170</t>
  </si>
  <si>
    <t>11/08/2025</t>
  </si>
  <si>
    <t>ORD10171</t>
  </si>
  <si>
    <t>02/04/2025</t>
  </si>
  <si>
    <t>ORD10172</t>
  </si>
  <si>
    <t>ORD10173</t>
  </si>
  <si>
    <t>19/08/2025</t>
  </si>
  <si>
    <t>ORD10174</t>
  </si>
  <si>
    <t>18/05/2025</t>
  </si>
  <si>
    <t>ORD10175</t>
  </si>
  <si>
    <t>14/02/2025</t>
  </si>
  <si>
    <t>ORD10176</t>
  </si>
  <si>
    <t>30/05/2025</t>
  </si>
  <si>
    <t>ORD10177</t>
  </si>
  <si>
    <t>16/03/2025</t>
  </si>
  <si>
    <t>ORD10178</t>
  </si>
  <si>
    <t>23/08/2025</t>
  </si>
  <si>
    <t>ORD10179</t>
  </si>
  <si>
    <t>03/06/2025</t>
  </si>
  <si>
    <t>ORD10180</t>
  </si>
  <si>
    <t>ORD10181</t>
  </si>
  <si>
    <t>21/12/2025</t>
  </si>
  <si>
    <t>ORD10182</t>
  </si>
  <si>
    <t>26/10/2025</t>
  </si>
  <si>
    <t>ORD10183</t>
  </si>
  <si>
    <t>27/03/2025</t>
  </si>
  <si>
    <t>ORD10184</t>
  </si>
  <si>
    <t>ORD10185</t>
  </si>
  <si>
    <t>22/08/2025</t>
  </si>
  <si>
    <t>ORD10186</t>
  </si>
  <si>
    <t>25/06/2025</t>
  </si>
  <si>
    <t>ORD10187</t>
  </si>
  <si>
    <t>06/04/2025</t>
  </si>
  <si>
    <t>ORD10188</t>
  </si>
  <si>
    <t>23/10/2025</t>
  </si>
  <si>
    <t>ORD10189</t>
  </si>
  <si>
    <t>ORD10190</t>
  </si>
  <si>
    <t>03/05/2025</t>
  </si>
  <si>
    <t>ORD10191</t>
  </si>
  <si>
    <t>12/10/2025</t>
  </si>
  <si>
    <t>ORD10192</t>
  </si>
  <si>
    <t>ORD10193</t>
  </si>
  <si>
    <t>28/03/2025</t>
  </si>
  <si>
    <t>ORD10194</t>
  </si>
  <si>
    <t>06/08/2025</t>
  </si>
  <si>
    <t>ORD10195</t>
  </si>
  <si>
    <t>30/12/2025</t>
  </si>
  <si>
    <t>ORD10196</t>
  </si>
  <si>
    <t>ORD10197</t>
  </si>
  <si>
    <t>ORD10198</t>
  </si>
  <si>
    <t>17/06/2025</t>
  </si>
  <si>
    <t>ORD10199</t>
  </si>
  <si>
    <t>ORD10200</t>
  </si>
  <si>
    <t>ORD10201</t>
  </si>
  <si>
    <t>12/02/2025</t>
  </si>
  <si>
    <t>ORD10202</t>
  </si>
  <si>
    <t>02/09/2025</t>
  </si>
  <si>
    <t>ORD10203</t>
  </si>
  <si>
    <t>ORD10204</t>
  </si>
  <si>
    <t>ORD10205</t>
  </si>
  <si>
    <t>29/06/2025</t>
  </si>
  <si>
    <t>ORD10206</t>
  </si>
  <si>
    <t>20/07/2025</t>
  </si>
  <si>
    <t>ORD10207</t>
  </si>
  <si>
    <t>18/07/2025</t>
  </si>
  <si>
    <t>ORD10208</t>
  </si>
  <si>
    <t>17/09/2025</t>
  </si>
  <si>
    <t>ORD10209</t>
  </si>
  <si>
    <t>21/03/2025</t>
  </si>
  <si>
    <t>ORD10210</t>
  </si>
  <si>
    <t>03/03/2025</t>
  </si>
  <si>
    <t>ORD10211</t>
  </si>
  <si>
    <t>21/06/2025</t>
  </si>
  <si>
    <t>ORD10212</t>
  </si>
  <si>
    <t>ORD10213</t>
  </si>
  <si>
    <t>ORD10214</t>
  </si>
  <si>
    <t>ORD10215</t>
  </si>
  <si>
    <t>ORD10216</t>
  </si>
  <si>
    <t>30/04/2025</t>
  </si>
  <si>
    <t>ORD10217</t>
  </si>
  <si>
    <t>14/03/2025</t>
  </si>
  <si>
    <t>ORD10218</t>
  </si>
  <si>
    <t>23/11/2025</t>
  </si>
  <si>
    <t>ORD10219</t>
  </si>
  <si>
    <t>ORD10220</t>
  </si>
  <si>
    <t>17/04/2025</t>
  </si>
  <si>
    <t>ORD10221</t>
  </si>
  <si>
    <t>31/12/2025</t>
  </si>
  <si>
    <t>ORD10222</t>
  </si>
  <si>
    <t>ORD10223</t>
  </si>
  <si>
    <t>03/02/2025</t>
  </si>
  <si>
    <t>ORD10224</t>
  </si>
  <si>
    <t>15/07/2025</t>
  </si>
  <si>
    <t>ORD10225</t>
  </si>
  <si>
    <t>ORD10226</t>
  </si>
  <si>
    <t>26/06/2025</t>
  </si>
  <si>
    <t>ORD10227</t>
  </si>
  <si>
    <t>23/03/2025</t>
  </si>
  <si>
    <t>ORD10228</t>
  </si>
  <si>
    <t>31/10/2025</t>
  </si>
  <si>
    <t>ORD10229</t>
  </si>
  <si>
    <t>20/01/2025</t>
  </si>
  <si>
    <t>ORD10230</t>
  </si>
  <si>
    <t>15/06/2025</t>
  </si>
  <si>
    <t>ORD10231</t>
  </si>
  <si>
    <t>ORD10232</t>
  </si>
  <si>
    <t>ORD10233</t>
  </si>
  <si>
    <t>ORD10234</t>
  </si>
  <si>
    <t>ORD10235</t>
  </si>
  <si>
    <t>ORD10236</t>
  </si>
  <si>
    <t>ORD10237</t>
  </si>
  <si>
    <t>ORD10238</t>
  </si>
  <si>
    <t>ORD10239</t>
  </si>
  <si>
    <t>11/02/2025</t>
  </si>
  <si>
    <t>ORD10240</t>
  </si>
  <si>
    <t>09/07/2025</t>
  </si>
  <si>
    <t>ORD10241</t>
  </si>
  <si>
    <t>05/10/2025</t>
  </si>
  <si>
    <t>ORD10242</t>
  </si>
  <si>
    <t>ORD10243</t>
  </si>
  <si>
    <t>06/03/2025</t>
  </si>
  <si>
    <t>ORD10244</t>
  </si>
  <si>
    <t>ORD10245</t>
  </si>
  <si>
    <t>ORD10246</t>
  </si>
  <si>
    <t>26/07/2025</t>
  </si>
  <si>
    <t>ORD10247</t>
  </si>
  <si>
    <t>09/06/2025</t>
  </si>
  <si>
    <t>ORD10248</t>
  </si>
  <si>
    <t>ORD10249</t>
  </si>
  <si>
    <t>30/03/2025</t>
  </si>
  <si>
    <t>ORD10250</t>
  </si>
  <si>
    <t>22/11/2025</t>
  </si>
  <si>
    <t>ORD10251</t>
  </si>
  <si>
    <t>19/12/2025</t>
  </si>
  <si>
    <t>ORD10252</t>
  </si>
  <si>
    <t>20/09/2025</t>
  </si>
  <si>
    <t>ORD10253</t>
  </si>
  <si>
    <t>28/06/2025</t>
  </si>
  <si>
    <t>ORD10254</t>
  </si>
  <si>
    <t>ORD10255</t>
  </si>
  <si>
    <t>30/01/2025</t>
  </si>
  <si>
    <t>ORD10256</t>
  </si>
  <si>
    <t>ORD10257</t>
  </si>
  <si>
    <t>13/05/2025</t>
  </si>
  <si>
    <t>ORD10258</t>
  </si>
  <si>
    <t>ORD10259</t>
  </si>
  <si>
    <t>19/03/2025</t>
  </si>
  <si>
    <t>ORD10260</t>
  </si>
  <si>
    <t>03/01/2025</t>
  </si>
  <si>
    <t>ORD10261</t>
  </si>
  <si>
    <t>ORD10262</t>
  </si>
  <si>
    <t>ORD10263</t>
  </si>
  <si>
    <t>ORD10264</t>
  </si>
  <si>
    <t>29/10/2025</t>
  </si>
  <si>
    <t>ORD10265</t>
  </si>
  <si>
    <t>02/08/2025</t>
  </si>
  <si>
    <t>ORD10266</t>
  </si>
  <si>
    <t>15/11/2025</t>
  </si>
  <si>
    <t>ORD10267</t>
  </si>
  <si>
    <t>03/07/2025</t>
  </si>
  <si>
    <t>ORD10268</t>
  </si>
  <si>
    <t>ORD10269</t>
  </si>
  <si>
    <t>ORD10270</t>
  </si>
  <si>
    <t>ORD10271</t>
  </si>
  <si>
    <t>ORD10272</t>
  </si>
  <si>
    <t>17/12/2025</t>
  </si>
  <si>
    <t>ORD10273</t>
  </si>
  <si>
    <t>10/08/2025</t>
  </si>
  <si>
    <t>ORD10274</t>
  </si>
  <si>
    <t>08/02/2025</t>
  </si>
  <si>
    <t>ORD10275</t>
  </si>
  <si>
    <t>15/02/2025</t>
  </si>
  <si>
    <t>ORD10276</t>
  </si>
  <si>
    <t>ORD10277</t>
  </si>
  <si>
    <t>19/02/2025</t>
  </si>
  <si>
    <t>ORD10278</t>
  </si>
  <si>
    <t>ORD10279</t>
  </si>
  <si>
    <t>ORD10280</t>
  </si>
  <si>
    <t>ORD10281</t>
  </si>
  <si>
    <t>ORD10282</t>
  </si>
  <si>
    <t>15/09/2025</t>
  </si>
  <si>
    <t>ORD10283</t>
  </si>
  <si>
    <t>ORD10284</t>
  </si>
  <si>
    <t>15/04/2025</t>
  </si>
  <si>
    <t>ORD10285</t>
  </si>
  <si>
    <t>ORD10286</t>
  </si>
  <si>
    <t>10/04/2025</t>
  </si>
  <si>
    <t>ORD10287</t>
  </si>
  <si>
    <t>ORD10288</t>
  </si>
  <si>
    <t>09/09/2025</t>
  </si>
  <si>
    <t>ORD10289</t>
  </si>
  <si>
    <t>20/04/2025</t>
  </si>
  <si>
    <t>ORD10290</t>
  </si>
  <si>
    <t>21/01/2025</t>
  </si>
  <si>
    <t>ORD10291</t>
  </si>
  <si>
    <t>30/11/2025</t>
  </si>
  <si>
    <t>ORD10292</t>
  </si>
  <si>
    <t>03/10/2025</t>
  </si>
  <si>
    <t>ORD10293</t>
  </si>
  <si>
    <t>06/02/2025</t>
  </si>
  <si>
    <t>ORD10294</t>
  </si>
  <si>
    <t>ORD10295</t>
  </si>
  <si>
    <t>ORD10296</t>
  </si>
  <si>
    <t>05/03/2025</t>
  </si>
  <si>
    <t>ORD10297</t>
  </si>
  <si>
    <t>12/11/2025</t>
  </si>
  <si>
    <t>ORD10298</t>
  </si>
  <si>
    <t>12/04/2025</t>
  </si>
  <si>
    <t>ORD10299</t>
  </si>
  <si>
    <t>04/12/2025</t>
  </si>
  <si>
    <t>ORD10300</t>
  </si>
  <si>
    <t>ORD10301</t>
  </si>
  <si>
    <t>ORD10302</t>
  </si>
  <si>
    <t>19/01/2025</t>
  </si>
  <si>
    <t>ORD10303</t>
  </si>
  <si>
    <t>06/01/2025</t>
  </si>
  <si>
    <t>ORD10304</t>
  </si>
  <si>
    <t>ORD10305</t>
  </si>
  <si>
    <t>ORD10306</t>
  </si>
  <si>
    <t>ORD10307</t>
  </si>
  <si>
    <t>ORD10308</t>
  </si>
  <si>
    <t>18/04/2025</t>
  </si>
  <si>
    <t>ORD10309</t>
  </si>
  <si>
    <t>ORD10310</t>
  </si>
  <si>
    <t>ORD10311</t>
  </si>
  <si>
    <t>28/04/2025</t>
  </si>
  <si>
    <t>ORD10312</t>
  </si>
  <si>
    <t>ORD10313</t>
  </si>
  <si>
    <t>ORD10314</t>
  </si>
  <si>
    <t>12/05/2025</t>
  </si>
  <si>
    <t>ORD10315</t>
  </si>
  <si>
    <t>ORD10316</t>
  </si>
  <si>
    <t>14/10/2025</t>
  </si>
  <si>
    <t>ORD10317</t>
  </si>
  <si>
    <t>23/06/2025</t>
  </si>
  <si>
    <t>ORD10318</t>
  </si>
  <si>
    <t>08/11/2025</t>
  </si>
  <si>
    <t>ORD10319</t>
  </si>
  <si>
    <t>ORD10320</t>
  </si>
  <si>
    <t>ORD10321</t>
  </si>
  <si>
    <t>26/04/2025</t>
  </si>
  <si>
    <t>ORD10322</t>
  </si>
  <si>
    <t>ORD10323</t>
  </si>
  <si>
    <t>ORD10324</t>
  </si>
  <si>
    <t>ORD10325</t>
  </si>
  <si>
    <t>16/04/2025</t>
  </si>
  <si>
    <t>ORD10326</t>
  </si>
  <si>
    <t>04/09/2025</t>
  </si>
  <si>
    <t>ORD10327</t>
  </si>
  <si>
    <t>ORD10328</t>
  </si>
  <si>
    <t>25/10/2025</t>
  </si>
  <si>
    <t>ORD10329</t>
  </si>
  <si>
    <t>ORD10330</t>
  </si>
  <si>
    <t>ORD10331</t>
  </si>
  <si>
    <t>ORD10332</t>
  </si>
  <si>
    <t>ORD10333</t>
  </si>
  <si>
    <t>11/12/2025</t>
  </si>
  <si>
    <t>ORD10334</t>
  </si>
  <si>
    <t>ORD10335</t>
  </si>
  <si>
    <t>ORD10336</t>
  </si>
  <si>
    <t>ORD10337</t>
  </si>
  <si>
    <t>ORD10338</t>
  </si>
  <si>
    <t>04/10/2025</t>
  </si>
  <si>
    <t>ORD10339</t>
  </si>
  <si>
    <t>ORD10340</t>
  </si>
  <si>
    <t>ORD10341</t>
  </si>
  <si>
    <t>22/07/2025</t>
  </si>
  <si>
    <t>ORD10342</t>
  </si>
  <si>
    <t>ORD10343</t>
  </si>
  <si>
    <t>ORD10344</t>
  </si>
  <si>
    <t>22/04/2025</t>
  </si>
  <si>
    <t>ORD10345</t>
  </si>
  <si>
    <t>ORD10346</t>
  </si>
  <si>
    <t>18/02/2025</t>
  </si>
  <si>
    <t>ORD10347</t>
  </si>
  <si>
    <t>ORD10348</t>
  </si>
  <si>
    <t>22/01/2025</t>
  </si>
  <si>
    <t>ORD10349</t>
  </si>
  <si>
    <t>26/12/2025</t>
  </si>
  <si>
    <t>ORD10350</t>
  </si>
  <si>
    <t>10/03/2025</t>
  </si>
  <si>
    <t>ORD10351</t>
  </si>
  <si>
    <t>ORD10352</t>
  </si>
  <si>
    <t>14/11/2025</t>
  </si>
  <si>
    <t>ORD10353</t>
  </si>
  <si>
    <t>26/02/2025</t>
  </si>
  <si>
    <t>ORD10354</t>
  </si>
  <si>
    <t>ORD10355</t>
  </si>
  <si>
    <t>ORD10356</t>
  </si>
  <si>
    <t>ORD10357</t>
  </si>
  <si>
    <t>ORD10358</t>
  </si>
  <si>
    <t>16/06/2025</t>
  </si>
  <si>
    <t>ORD10359</t>
  </si>
  <si>
    <t>ORD10360</t>
  </si>
  <si>
    <t>ORD10361</t>
  </si>
  <si>
    <t>ORD10362</t>
  </si>
  <si>
    <t>ORD10363</t>
  </si>
  <si>
    <t>01/12/2025</t>
  </si>
  <si>
    <t>ORD10364</t>
  </si>
  <si>
    <t>ORD10365</t>
  </si>
  <si>
    <t>24/07/2025</t>
  </si>
  <si>
    <t>ORD10366</t>
  </si>
  <si>
    <t>09/08/2025</t>
  </si>
  <si>
    <t>ORD10367</t>
  </si>
  <si>
    <t>ORD10368</t>
  </si>
  <si>
    <t>ORD10369</t>
  </si>
  <si>
    <t>ORD10370</t>
  </si>
  <si>
    <t>28/01/2025</t>
  </si>
  <si>
    <t>ORD10371</t>
  </si>
  <si>
    <t>ORD10372</t>
  </si>
  <si>
    <t>ORD10373</t>
  </si>
  <si>
    <t>ORD10374</t>
  </si>
  <si>
    <t>07/08/2025</t>
  </si>
  <si>
    <t>ORD10375</t>
  </si>
  <si>
    <t>ORD10376</t>
  </si>
  <si>
    <t>30/07/2025</t>
  </si>
  <si>
    <t>ORD10377</t>
  </si>
  <si>
    <t>ORD10378</t>
  </si>
  <si>
    <t>25/03/2025</t>
  </si>
  <si>
    <t>ORD10379</t>
  </si>
  <si>
    <t>ORD10380</t>
  </si>
  <si>
    <t>ORD10381</t>
  </si>
  <si>
    <t>ORD10382</t>
  </si>
  <si>
    <t>21/07/2025</t>
  </si>
  <si>
    <t>ORD10383</t>
  </si>
  <si>
    <t>ORD10384</t>
  </si>
  <si>
    <t>17/10/2025</t>
  </si>
  <si>
    <t>ORD10385</t>
  </si>
  <si>
    <t>ORD10386</t>
  </si>
  <si>
    <t>ORD10387</t>
  </si>
  <si>
    <t>ORD10388</t>
  </si>
  <si>
    <t>ORD10389</t>
  </si>
  <si>
    <t>27/09/2025</t>
  </si>
  <si>
    <t>ORD10390</t>
  </si>
  <si>
    <t>ORD10391</t>
  </si>
  <si>
    <t>ORD10392</t>
  </si>
  <si>
    <t>ORD10393</t>
  </si>
  <si>
    <t>19/06/2025</t>
  </si>
  <si>
    <t>ORD10394</t>
  </si>
  <si>
    <t>24/09/2025</t>
  </si>
  <si>
    <t>ORD10395</t>
  </si>
  <si>
    <t>12/07/2025</t>
  </si>
  <si>
    <t>ORD10396</t>
  </si>
  <si>
    <t>ORD10397</t>
  </si>
  <si>
    <t>05/09/2025</t>
  </si>
  <si>
    <t>ORD10398</t>
  </si>
  <si>
    <t>ORD10399</t>
  </si>
  <si>
    <t>24/11/2025</t>
  </si>
  <si>
    <t>ORD10400</t>
  </si>
  <si>
    <t>08/01/2025</t>
  </si>
  <si>
    <t>ORD10401</t>
  </si>
  <si>
    <t>ORD10402</t>
  </si>
  <si>
    <t>ORD10403</t>
  </si>
  <si>
    <t>08/06/2025</t>
  </si>
  <si>
    <t>ORD10404</t>
  </si>
  <si>
    <t>ORD10405</t>
  </si>
  <si>
    <t>ORD10406</t>
  </si>
  <si>
    <t>ORD10407</t>
  </si>
  <si>
    <t>ORD10408</t>
  </si>
  <si>
    <t>ORD10409</t>
  </si>
  <si>
    <t>ORD10410</t>
  </si>
  <si>
    <t>ORD10411</t>
  </si>
  <si>
    <t>13/03/2025</t>
  </si>
  <si>
    <t>ORD10412</t>
  </si>
  <si>
    <t>ORD10413</t>
  </si>
  <si>
    <t>ORD10414</t>
  </si>
  <si>
    <t>18/10/2025</t>
  </si>
  <si>
    <t>ORD10415</t>
  </si>
  <si>
    <t>ORD10416</t>
  </si>
  <si>
    <t>ORD10417</t>
  </si>
  <si>
    <t>24/10/2025</t>
  </si>
  <si>
    <t>ORD10418</t>
  </si>
  <si>
    <t>ORD10419</t>
  </si>
  <si>
    <t>03/04/2025</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</si>
  <si>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</si>
  <si>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</si>
  <si>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</si>
  <si>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</si>
  <si>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</si>
  <si>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</si>
  <si>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</si>
  <si>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</si>
  <si>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</si>
  <si>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</si>
  <si>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</si>
  <si>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</si>
  <si>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</si>
  <si>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</si>
  <si>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</si>
  <si>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</si>
  <si>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</si>
  <si>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</si>
  <si>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</si>
  <si>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</si>
  <si>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18/11/2025</t>
  </si>
  <si>
    <t>ORD10440</t>
  </si>
  <si>
    <t>ORD10441</t>
  </si>
  <si>
    <t>ORD10442</t>
  </si>
  <si>
    <t>ORD10443</t>
  </si>
  <si>
    <t>ORD10444</t>
  </si>
  <si>
    <t>20/11/2025</t>
  </si>
  <si>
    <t>ORD10445</t>
  </si>
  <si>
    <t>ORD10446</t>
  </si>
  <si>
    <t>ORD10447</t>
  </si>
  <si>
    <t>ORD10448</t>
  </si>
  <si>
    <t>ORD10449</t>
  </si>
  <si>
    <t>ORD10450</t>
  </si>
  <si>
    <t>19/05/2025</t>
  </si>
  <si>
    <t>ORD10451</t>
  </si>
  <si>
    <t>07/07/2025</t>
  </si>
  <si>
    <t>ORD10452</t>
  </si>
  <si>
    <t>ORD10453</t>
  </si>
  <si>
    <t>20/08/2025</t>
  </si>
  <si>
    <t>ORD10454</t>
  </si>
  <si>
    <t>ORD10455</t>
  </si>
  <si>
    <t>27/11/2025</t>
  </si>
  <si>
    <t>ORD10456</t>
  </si>
  <si>
    <t>ORD10457</t>
  </si>
  <si>
    <t>ORD10458</t>
  </si>
  <si>
    <t>ORD10459</t>
  </si>
  <si>
    <t>01/10/2025</t>
  </si>
  <si>
    <t>ORD10460</t>
  </si>
  <si>
    <t>ORD10461</t>
  </si>
  <si>
    <t>ORD10462</t>
  </si>
  <si>
    <t>ORD10463</t>
  </si>
  <si>
    <t>ORD10464</t>
  </si>
  <si>
    <t>ORD10465</t>
  </si>
  <si>
    <t>ORD10466</t>
  </si>
  <si>
    <t>ORD10467</t>
  </si>
  <si>
    <t>ORD10468</t>
  </si>
  <si>
    <t>ORD10469</t>
  </si>
  <si>
    <t>ORD10470</t>
  </si>
  <si>
    <t>ORD10471</t>
  </si>
  <si>
    <t>ORD10472</t>
  </si>
  <si>
    <t>ORD10473</t>
  </si>
  <si>
    <t>02/03/2025</t>
  </si>
  <si>
    <t>ORD10474</t>
  </si>
  <si>
    <t>ORD10475</t>
  </si>
  <si>
    <t>ORD10476</t>
  </si>
  <si>
    <t>16/09/2025</t>
  </si>
  <si>
    <t>ORD10477</t>
  </si>
  <si>
    <t>ORD10478</t>
  </si>
  <si>
    <t>ORD10479</t>
  </si>
  <si>
    <t>18/12/2025</t>
  </si>
  <si>
    <t>ORD10480</t>
  </si>
  <si>
    <t>ORD10481</t>
  </si>
  <si>
    <t>ORD10482</t>
  </si>
  <si>
    <t>17/03/2025</t>
  </si>
  <si>
    <t>ORD10483</t>
  </si>
  <si>
    <t>ORD10484</t>
  </si>
  <si>
    <t>ORD10485</t>
  </si>
  <si>
    <t>15/08/2025</t>
  </si>
  <si>
    <t>ORD10486</t>
  </si>
  <si>
    <t>07/09/2025</t>
  </si>
  <si>
    <t>ORD10487</t>
  </si>
  <si>
    <t>ORD10488</t>
  </si>
  <si>
    <t>08/08/2025</t>
  </si>
  <si>
    <t>ORD10489</t>
  </si>
  <si>
    <t>ORD10490</t>
  </si>
  <si>
    <t>ORD10491</t>
  </si>
  <si>
    <t>ORD10492</t>
  </si>
  <si>
    <t>ORD10493</t>
  </si>
  <si>
    <t>ORD10494</t>
  </si>
  <si>
    <t>ORD10495</t>
  </si>
  <si>
    <t>ORD10496</t>
  </si>
  <si>
    <t>ORD10497</t>
  </si>
  <si>
    <t>ORD10498</t>
  </si>
  <si>
    <t>ORD10499</t>
  </si>
  <si>
    <t>ORD10500</t>
  </si>
  <si>
    <t>29/07/2025</t>
  </si>
  <si>
    <t>Row Labels</t>
  </si>
  <si>
    <t>Grand Total</t>
  </si>
  <si>
    <t>Count of Order_ID</t>
  </si>
  <si>
    <t>Sum of Sales</t>
  </si>
  <si>
    <t>Sum of Quantity</t>
  </si>
  <si>
    <t>Average of Rating</t>
  </si>
  <si>
    <t>Average of Delivery</t>
  </si>
  <si>
    <t>Values</t>
  </si>
  <si>
    <t>Total  Sales</t>
  </si>
  <si>
    <t>Total</t>
  </si>
  <si>
    <t>Total Sales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</si>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</sst>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6" formatCode="0.0,&quot;K&quot;"/>
    <numFmt numFmtId="169" formatCode="_-[$$-409]* #,##0_ ;_-[$$-409]* \-#,##0\ ;_-[$$-409]* &quot;-&quot;??_ ;_-@_ "/>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0" borderId="0" xfId="0" applyNumberFormat="1"/>
    <xf numFmtId="166" fontId="0" fillId="0" borderId="0" xfId="0" applyNumberFormat="1"/>
    <xf numFmtId="169" fontId="0" fillId="0" borderId="0" xfId="0" applyNumberFormat="1"/>
    <xf numFmtId="0" fontId="0" fillId="2" borderId="0" xfId="0" applyFill="1"/>
    <xf numFmtId="169" fontId="0" fillId="2" borderId="0" xfId="0" applyNumberFormat="1" applyFill="1"/>
    <xf numFmtId="0" fontId="0" fillId="2" borderId="1" xfId="0" applyFill="1" applyBorder="1"/>
    <xf numFmtId="0" fontId="0" fillId="0" borderId="1" xfId="0" applyBorder="1"/>
    <xf numFmtId="164" fontId="0" fillId="0" borderId="1" xfId="0" applyNumberFormat="1" applyBorder="1"/>
    <xf numFmtId="9" fontId="0" fillId="0" borderId="1" xfId="1" applyFont="1" applyBorder="1"/>
    <xf numFmtId="164" fontId="0" fillId="2" borderId="1" xfId="0" applyNumberFormat="1" applyFill="1" applyBorder="1"/>
    <xf numFmtId="9" fontId="0" fillId="2" borderId="1" xfId="1" applyFont="1" applyFill="1" applyBorder="1"/>
  </cellXfs>
  <cellStyles count="2">
    <cellStyle name="Normal" xfId="0" builtinId="0"/>
    <cellStyle name="Percent" xfId="1" builtinId="5"/>
  </cellStyles>
  <dxfs count="451">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border diagonalUp="0" diagonalDown="0">
        <left/>
        <right/>
        <top/>
        <bottom/>
        <vertical/>
        <horizontal/>
      </border>
    </dxf>
    <dxf>
      <border diagonalUp="0" diagonalDown="0">
        <left/>
        <right/>
        <top/>
        <bottom/>
        <vertical/>
        <horizontal/>
      </border>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2" formatCode="0.00"/>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6" formatCode="0.0,&quot;K&quot;"/>
    </dxf>
    <dxf>
      <numFmt numFmtId="164" formatCode="0.0,,&quot;M&quot;"/>
    </dxf>
    <dxf>
      <numFmt numFmtId="2" formatCode="0.00"/>
    </dxf>
    <dxf>
      <numFmt numFmtId="2" formatCode="0.00"/>
    </dxf>
  </dxfs>
  <tableStyles count="2" defaultTableStyle="TableStyleMedium2" defaultPivotStyle="PivotStyleLight16">
    <tableStyle name="Slicer Style 1" pivot="0" table="0" count="1" xr9:uid="{A4108772-D2F9-4B1D-8853-040C1FA0F369}">
      <tableStyleElement type="wholeTable" dxfId="321"/>
    </tableStyle>
    <tableStyle name="Slicer Style 2" pivot="0" table="0" count="1" xr9:uid="{B85C73E5-5622-42F5-90D3-BF4A48A11519}">
      <tableStyleElement type="wholeTable" dxfId="320"/>
    </tableStyle>
  </tableStyles>
  <colors>
    <mruColors>
      <color rgb="FFFFB51B"/>
      <color rgb="FFFF7A00"/>
      <color rgb="FFF4510B"/>
      <color rgb="FF7B2DD4"/>
      <color rgb="FF55159F"/>
      <color rgb="FF8BCB25"/>
      <color rgb="FF5B8F12"/>
      <color rgb="FFFF9A18"/>
      <color rgb="FF24A5FF"/>
      <color rgb="FF00A63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6000">
                <a:srgbClr val="3E3EFF"/>
              </a:gs>
              <a:gs pos="11000">
                <a:srgbClr val="0000FF"/>
              </a:gs>
              <a:gs pos="0">
                <a:srgbClr val="0000FF"/>
              </a:gs>
              <a:gs pos="56632">
                <a:srgbClr val="C0C0FF"/>
              </a:gs>
              <a:gs pos="66000">
                <a:srgbClr val="4C9BFA"/>
              </a:gs>
              <a:gs pos="100000">
                <a:schemeClr val="bg1"/>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8758440798614"/>
          <c:y val="9.3062605752961089E-2"/>
          <c:w val="0.82575266327003238"/>
          <c:h val="0.68068268116231667"/>
        </c:manualLayout>
      </c:layout>
      <c:areaChart>
        <c:grouping val="standard"/>
        <c:varyColors val="0"/>
        <c:ser>
          <c:idx val="0"/>
          <c:order val="0"/>
          <c:tx>
            <c:strRef>
              <c:f>Pivot!$E$2</c:f>
              <c:strCache>
                <c:ptCount val="1"/>
                <c:pt idx="0">
                  <c:v>Total</c:v>
                </c:pt>
              </c:strCache>
            </c:strRef>
          </c:tx>
          <c:spPr>
            <a:gradFill>
              <a:gsLst>
                <a:gs pos="16000">
                  <a:srgbClr val="3E3EFF"/>
                </a:gs>
                <a:gs pos="11000">
                  <a:srgbClr val="0000FF"/>
                </a:gs>
                <a:gs pos="0">
                  <a:srgbClr val="0000FF"/>
                </a:gs>
                <a:gs pos="56632">
                  <a:srgbClr val="C0C0FF"/>
                </a:gs>
                <a:gs pos="66000">
                  <a:srgbClr val="4C9BFA"/>
                </a:gs>
                <a:gs pos="100000">
                  <a:schemeClr val="bg1"/>
                </a:gs>
                <a:gs pos="100000">
                  <a:schemeClr val="accent1">
                    <a:lumMod val="30000"/>
                    <a:lumOff val="70000"/>
                  </a:schemeClr>
                </a:gs>
              </a:gsLst>
              <a:lin ang="5400000" scaled="1"/>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Pivot!$E$3:$E$15</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B5DB-44AA-BC92-69135EA711F7}"/>
            </c:ext>
          </c:extLst>
        </c:ser>
        <c:dLbls>
          <c:showLegendKey val="0"/>
          <c:showVal val="1"/>
          <c:showCatName val="0"/>
          <c:showSerName val="0"/>
          <c:showPercent val="0"/>
          <c:showBubbleSize val="0"/>
        </c:dLbls>
        <c:axId val="359385535"/>
        <c:axId val="2086513103"/>
      </c:areaChart>
      <c:catAx>
        <c:axId val="35938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86513103"/>
        <c:crosses val="autoZero"/>
        <c:auto val="1"/>
        <c:lblAlgn val="ctr"/>
        <c:lblOffset val="100"/>
        <c:noMultiLvlLbl val="0"/>
      </c:catAx>
      <c:valAx>
        <c:axId val="2086513103"/>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938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9000">
                <a:srgbClr val="19B84A"/>
              </a:gs>
              <a:gs pos="0">
                <a:srgbClr val="00A63C"/>
              </a:gs>
              <a:gs pos="99000">
                <a:srgbClr val="69D92F"/>
              </a:gs>
              <a:gs pos="100000">
                <a:schemeClr val="bg1"/>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87523652566684"/>
          <c:y val="9.90990990990991E-2"/>
          <c:w val="0.67350073246658126"/>
          <c:h val="0.69262821876995107"/>
        </c:manualLayout>
      </c:layout>
      <c:barChart>
        <c:barDir val="bar"/>
        <c:grouping val="clustered"/>
        <c:varyColors val="0"/>
        <c:ser>
          <c:idx val="0"/>
          <c:order val="0"/>
          <c:tx>
            <c:strRef>
              <c:f>Pivot!$H$2</c:f>
              <c:strCache>
                <c:ptCount val="1"/>
                <c:pt idx="0">
                  <c:v>Total</c:v>
                </c:pt>
              </c:strCache>
            </c:strRef>
          </c:tx>
          <c:spPr>
            <a:gradFill>
              <a:gsLst>
                <a:gs pos="59000">
                  <a:srgbClr val="19B84A"/>
                </a:gs>
                <a:gs pos="0">
                  <a:srgbClr val="00A63C"/>
                </a:gs>
                <a:gs pos="99000">
                  <a:srgbClr val="69D92F"/>
                </a:gs>
                <a:gs pos="100000">
                  <a:schemeClr val="bg1"/>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Pivot!$G$3:$G$8</c:f>
              <c:strCache>
                <c:ptCount val="5"/>
                <c:pt idx="0">
                  <c:v>Beauty</c:v>
                </c:pt>
                <c:pt idx="1">
                  <c:v>Books</c:v>
                </c:pt>
                <c:pt idx="2">
                  <c:v>Fashion</c:v>
                </c:pt>
                <c:pt idx="3">
                  <c:v>Home</c:v>
                </c:pt>
                <c:pt idx="4">
                  <c:v>Electronics</c:v>
                </c:pt>
              </c:strCache>
            </c:strRef>
          </c:cat>
          <c:val>
            <c:numRef>
              <c:f>Pivot!$H$3:$H$8</c:f>
              <c:numCache>
                <c:formatCode>0.0,,"M"</c:formatCode>
                <c:ptCount val="5"/>
                <c:pt idx="0">
                  <c:v>490618</c:v>
                </c:pt>
                <c:pt idx="1">
                  <c:v>570604</c:v>
                </c:pt>
                <c:pt idx="2">
                  <c:v>1790583</c:v>
                </c:pt>
                <c:pt idx="3">
                  <c:v>2691079</c:v>
                </c:pt>
                <c:pt idx="4">
                  <c:v>17463533</c:v>
                </c:pt>
              </c:numCache>
            </c:numRef>
          </c:val>
          <c:extLst>
            <c:ext xmlns:c16="http://schemas.microsoft.com/office/drawing/2014/chart" uri="{C3380CC4-5D6E-409C-BE32-E72D297353CC}">
              <c16:uniqueId val="{00000000-C1D9-4792-B29A-196C08A779B1}"/>
            </c:ext>
          </c:extLst>
        </c:ser>
        <c:dLbls>
          <c:dLblPos val="outEnd"/>
          <c:showLegendKey val="0"/>
          <c:showVal val="1"/>
          <c:showCatName val="0"/>
          <c:showSerName val="0"/>
          <c:showPercent val="0"/>
          <c:showBubbleSize val="0"/>
        </c:dLbls>
        <c:gapWidth val="30"/>
        <c:overlap val="100"/>
        <c:axId val="134899327"/>
        <c:axId val="2109994959"/>
      </c:barChart>
      <c:catAx>
        <c:axId val="13489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9994959"/>
        <c:crosses val="autoZero"/>
        <c:auto val="1"/>
        <c:lblAlgn val="ctr"/>
        <c:lblOffset val="100"/>
        <c:noMultiLvlLbl val="0"/>
      </c:catAx>
      <c:valAx>
        <c:axId val="210999495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9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01797622729182"/>
          <c:y val="8.8141025641025647E-2"/>
          <c:w val="0.318016667856095"/>
          <c:h val="0.72661644457904295"/>
        </c:manualLayout>
      </c:layout>
      <c:barChart>
        <c:barDir val="bar"/>
        <c:grouping val="percent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Pivot!$AE$3:$AE$9</c:f>
              <c:strCache>
                <c:ptCount val="7"/>
                <c:pt idx="0">
                  <c:v>Delhi</c:v>
                </c:pt>
                <c:pt idx="1">
                  <c:v>Gujrat</c:v>
                </c:pt>
                <c:pt idx="2">
                  <c:v>Karnataka</c:v>
                </c:pt>
                <c:pt idx="3">
                  <c:v>Maharashtra</c:v>
                </c:pt>
                <c:pt idx="4">
                  <c:v>Tamil Nadu</c:v>
                </c:pt>
                <c:pt idx="5">
                  <c:v>Telangana</c:v>
                </c:pt>
                <c:pt idx="6">
                  <c:v>Total</c:v>
                </c:pt>
              </c:strCache>
            </c:strRef>
          </c:cat>
          <c:val>
            <c:numRef>
              <c:f>Pivot!$AF$3:$AF$9</c:f>
              <c:numCache>
                <c:formatCode>0.0,,"M"</c:formatCode>
                <c:ptCount val="7"/>
                <c:pt idx="0">
                  <c:v>3353882</c:v>
                </c:pt>
                <c:pt idx="1">
                  <c:v>4389497</c:v>
                </c:pt>
                <c:pt idx="2">
                  <c:v>5312858</c:v>
                </c:pt>
                <c:pt idx="3">
                  <c:v>3463152</c:v>
                </c:pt>
                <c:pt idx="4">
                  <c:v>3050638</c:v>
                </c:pt>
                <c:pt idx="5">
                  <c:v>3436390</c:v>
                </c:pt>
                <c:pt idx="6">
                  <c:v>23006417</c:v>
                </c:pt>
              </c:numCache>
            </c:numRef>
          </c:val>
          <c:extLst>
            <c:ext xmlns:c16="http://schemas.microsoft.com/office/drawing/2014/chart" uri="{C3380CC4-5D6E-409C-BE32-E72D297353CC}">
              <c16:uniqueId val="{00000000-69EF-46B1-9F0D-91CFAD0FC1D5}"/>
            </c:ext>
          </c:extLst>
        </c:ser>
        <c:ser>
          <c:idx val="1"/>
          <c:order val="1"/>
          <c:spPr>
            <a:solidFill>
              <a:schemeClr val="accent2"/>
            </a:solidFill>
            <a:ln>
              <a:noFill/>
            </a:ln>
            <a:effectLst/>
          </c:spPr>
          <c:invertIfNegative val="0"/>
          <c:dLbls>
            <c:dLbl>
              <c:idx val="0"/>
              <c:layout>
                <c:manualLayout>
                  <c:x val="-5.5479299981762098E-2"/>
                  <c:y val="-2.40384615384615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EF-46B1-9F0D-91CFAD0FC1D5}"/>
                </c:ext>
              </c:extLst>
            </c:dLbl>
            <c:dLbl>
              <c:idx val="1"/>
              <c:layout>
                <c:manualLayout>
                  <c:x val="-5.5479299981762098E-2"/>
                  <c:y val="-8.012820512820586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EF-46B1-9F0D-91CFAD0FC1D5}"/>
                </c:ext>
              </c:extLst>
            </c:dLbl>
            <c:dLbl>
              <c:idx val="2"/>
              <c:layout>
                <c:manualLayout>
                  <c:x val="-5.5479299981762098E-2"/>
                  <c:y val="-8.012820512820586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EF-46B1-9F0D-91CFAD0FC1D5}"/>
                </c:ext>
              </c:extLst>
            </c:dLbl>
            <c:dLbl>
              <c:idx val="3"/>
              <c:layout>
                <c:manualLayout>
                  <c:x val="-5.5479299981762098E-2"/>
                  <c:y val="-7.345000620011534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EF-46B1-9F0D-91CFAD0FC1D5}"/>
                </c:ext>
              </c:extLst>
            </c:dLbl>
            <c:dLbl>
              <c:idx val="4"/>
              <c:layout>
                <c:manualLayout>
                  <c:x val="-6.5549793435941348E-2"/>
                  <c:y val="1.60256410256410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EF-46B1-9F0D-91CFAD0FC1D5}"/>
                </c:ext>
              </c:extLst>
            </c:dLbl>
            <c:dLbl>
              <c:idx val="5"/>
              <c:layout>
                <c:manualLayout>
                  <c:x val="-6.554979343594134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EF-46B1-9F0D-91CFAD0FC1D5}"/>
                </c:ext>
              </c:extLst>
            </c:dLbl>
            <c:dLbl>
              <c:idx val="6"/>
              <c:layout>
                <c:manualLayout>
                  <c:x val="-5.4069430898177E-2"/>
                  <c:y val="1.60256410256410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EF-46B1-9F0D-91CFAD0FC1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Pivot!$AE$3:$AE$9</c:f>
              <c:strCache>
                <c:ptCount val="7"/>
                <c:pt idx="0">
                  <c:v>Delhi</c:v>
                </c:pt>
                <c:pt idx="1">
                  <c:v>Gujrat</c:v>
                </c:pt>
                <c:pt idx="2">
                  <c:v>Karnataka</c:v>
                </c:pt>
                <c:pt idx="3">
                  <c:v>Maharashtra</c:v>
                </c:pt>
                <c:pt idx="4">
                  <c:v>Tamil Nadu</c:v>
                </c:pt>
                <c:pt idx="5">
                  <c:v>Telangana</c:v>
                </c:pt>
                <c:pt idx="6">
                  <c:v>Total</c:v>
                </c:pt>
              </c:strCache>
            </c:strRef>
          </c:cat>
          <c:val>
            <c:numRef>
              <c:f>Pivot!$AG$3:$AG$9</c:f>
              <c:numCache>
                <c:formatCode>0%</c:formatCode>
                <c:ptCount val="7"/>
                <c:pt idx="0">
                  <c:v>0.14578028382255265</c:v>
                </c:pt>
                <c:pt idx="1">
                  <c:v>0.19079446399671882</c:v>
                </c:pt>
                <c:pt idx="2">
                  <c:v>0.23092939678525343</c:v>
                </c:pt>
                <c:pt idx="3">
                  <c:v>0.15052982826487063</c:v>
                </c:pt>
                <c:pt idx="4">
                  <c:v>0.13259943953897732</c:v>
                </c:pt>
                <c:pt idx="5">
                  <c:v>0.14936658759162716</c:v>
                </c:pt>
                <c:pt idx="6">
                  <c:v>1</c:v>
                </c:pt>
              </c:numCache>
            </c:numRef>
          </c:val>
          <c:extLst>
            <c:ext xmlns:c16="http://schemas.microsoft.com/office/drawing/2014/chart" uri="{C3380CC4-5D6E-409C-BE32-E72D297353CC}">
              <c16:uniqueId val="{00000001-69EF-46B1-9F0D-91CFAD0FC1D5}"/>
            </c:ext>
          </c:extLst>
        </c:ser>
        <c:dLbls>
          <c:dLblPos val="inBase"/>
          <c:showLegendKey val="0"/>
          <c:showVal val="1"/>
          <c:showCatName val="0"/>
          <c:showSerName val="0"/>
          <c:showPercent val="0"/>
          <c:showBubbleSize val="0"/>
        </c:dLbls>
        <c:gapWidth val="150"/>
        <c:overlap val="100"/>
        <c:axId val="447776463"/>
        <c:axId val="2109781839"/>
      </c:barChart>
      <c:catAx>
        <c:axId val="4477764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9781839"/>
        <c:crosses val="autoZero"/>
        <c:auto val="1"/>
        <c:lblAlgn val="ctr"/>
        <c:lblOffset val="100"/>
        <c:noMultiLvlLbl val="0"/>
      </c:catAx>
      <c:valAx>
        <c:axId val="2109781839"/>
        <c:scaling>
          <c:orientation val="minMax"/>
        </c:scaling>
        <c:delete val="1"/>
        <c:axPos val="b"/>
        <c:numFmt formatCode="0%" sourceLinked="1"/>
        <c:majorTickMark val="none"/>
        <c:minorTickMark val="none"/>
        <c:tickLblPos val="nextTo"/>
        <c:crossAx val="44777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540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5400000" algn="ctr" rotWithShape="0">
              <a:srgbClr val="000000">
                <a:alpha val="40000"/>
              </a:srgbClr>
            </a:outerShdw>
          </a:effectLst>
        </c:spPr>
        <c:dLbl>
          <c:idx val="0"/>
          <c:layout>
            <c:manualLayout>
              <c:x val="8.0321285140562249E-2"/>
              <c:y val="-0.147569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38100" dir="5400000" algn="ctr" rotWithShape="0">
              <a:srgbClr val="000000">
                <a:alpha val="40000"/>
              </a:srgbClr>
            </a:outerShdw>
          </a:effectLst>
        </c:spPr>
        <c:dLbl>
          <c:idx val="0"/>
          <c:layout>
            <c:manualLayout>
              <c:x val="9.036144578313253E-2"/>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a:outerShdw blurRad="50800" dist="38100" dir="5400000" algn="ctr" rotWithShape="0">
              <a:srgbClr val="000000">
                <a:alpha val="40000"/>
              </a:srgbClr>
            </a:outerShdw>
          </a:effectLst>
        </c:spPr>
        <c:dLbl>
          <c:idx val="0"/>
          <c:layout>
            <c:manualLayout>
              <c:x val="-8.5341365461847368E-2"/>
              <c:y val="0.11284722222222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38100" dir="5400000" algn="ctr" rotWithShape="0">
              <a:srgbClr val="000000">
                <a:alpha val="40000"/>
              </a:srgbClr>
            </a:outerShdw>
          </a:effectLst>
        </c:spPr>
        <c:dLbl>
          <c:idx val="0"/>
          <c:layout>
            <c:manualLayout>
              <c:x val="-6.0240568573506639E-2"/>
              <c:y val="-0.1605899360236220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4036144578313253"/>
                  <c:h val="0.26015624999999998"/>
                </c:manualLayout>
              </c15:layout>
            </c:ext>
          </c:extLst>
        </c:dLbl>
      </c:pivotFmt>
    </c:pivotFmts>
    <c:plotArea>
      <c:layout/>
      <c:doughnutChart>
        <c:varyColors val="1"/>
        <c:ser>
          <c:idx val="0"/>
          <c:order val="0"/>
          <c:tx>
            <c:strRef>
              <c:f>Pivot!$K$2</c:f>
              <c:strCache>
                <c:ptCount val="1"/>
                <c:pt idx="0">
                  <c:v>Total</c:v>
                </c:pt>
              </c:strCache>
            </c:strRef>
          </c:tx>
          <c:spPr>
            <a:effectLst>
              <a:outerShdw blurRad="50800" dist="38100" dir="5400000" algn="ctr" rotWithShape="0">
                <a:srgbClr val="000000">
                  <a:alpha val="40000"/>
                </a:srgbClr>
              </a:outerShdw>
            </a:effectLst>
          </c:spPr>
          <c:dPt>
            <c:idx val="0"/>
            <c:bubble3D val="0"/>
            <c:spPr>
              <a:solidFill>
                <a:schemeClr val="accent1"/>
              </a:soli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1-9CC2-4A3C-83C6-E1CDC29E11BA}"/>
              </c:ext>
            </c:extLst>
          </c:dPt>
          <c:dPt>
            <c:idx val="1"/>
            <c:bubble3D val="0"/>
            <c:spPr>
              <a:solidFill>
                <a:schemeClr val="accent2"/>
              </a:soli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3-9CC2-4A3C-83C6-E1CDC29E11BA}"/>
              </c:ext>
            </c:extLst>
          </c:dPt>
          <c:dPt>
            <c:idx val="2"/>
            <c:bubble3D val="0"/>
            <c:spPr>
              <a:solidFill>
                <a:schemeClr val="accent3"/>
              </a:soli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5-9CC2-4A3C-83C6-E1CDC29E11BA}"/>
              </c:ext>
            </c:extLst>
          </c:dPt>
          <c:dPt>
            <c:idx val="3"/>
            <c:bubble3D val="0"/>
            <c:spPr>
              <a:solidFill>
                <a:schemeClr val="accent4"/>
              </a:soli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7-9CC2-4A3C-83C6-E1CDC29E11BA}"/>
              </c:ext>
            </c:extLst>
          </c:dPt>
          <c:dLbls>
            <c:dLbl>
              <c:idx val="0"/>
              <c:layout>
                <c:manualLayout>
                  <c:x val="8.0321285140562249E-2"/>
                  <c:y val="-0.14756944444444445"/>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CC2-4A3C-83C6-E1CDC29E11BA}"/>
                </c:ext>
              </c:extLst>
            </c:dLbl>
            <c:dLbl>
              <c:idx val="1"/>
              <c:layout>
                <c:manualLayout>
                  <c:x val="9.036144578313253E-2"/>
                  <c:y val="0.13888888888888881"/>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CC2-4A3C-83C6-E1CDC29E11BA}"/>
                </c:ext>
              </c:extLst>
            </c:dLbl>
            <c:dLbl>
              <c:idx val="2"/>
              <c:layout>
                <c:manualLayout>
                  <c:x val="-8.5341365461847368E-2"/>
                  <c:y val="0.11284722222222206"/>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CC2-4A3C-83C6-E1CDC29E11BA}"/>
                </c:ext>
              </c:extLst>
            </c:dLbl>
            <c:dLbl>
              <c:idx val="3"/>
              <c:layout>
                <c:manualLayout>
                  <c:x val="-6.0240568573506639E-2"/>
                  <c:y val="-0.1605899360236220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4036144578313253"/>
                      <c:h val="0.26015624999999998"/>
                    </c:manualLayout>
                  </c15:layout>
                </c:ext>
                <c:ext xmlns:c16="http://schemas.microsoft.com/office/drawing/2014/chart" uri="{C3380CC4-5D6E-409C-BE32-E72D297353CC}">
                  <c16:uniqueId val="{00000007-9CC2-4A3C-83C6-E1CDC29E11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Pivot!$J$3:$J$7</c:f>
              <c:strCache>
                <c:ptCount val="4"/>
                <c:pt idx="0">
                  <c:v>Card</c:v>
                </c:pt>
                <c:pt idx="1">
                  <c:v>Cash</c:v>
                </c:pt>
                <c:pt idx="2">
                  <c:v>Net Banking</c:v>
                </c:pt>
                <c:pt idx="3">
                  <c:v>UPI</c:v>
                </c:pt>
              </c:strCache>
            </c:strRef>
          </c:cat>
          <c:val>
            <c:numRef>
              <c:f>Pivot!$K$3:$K$7</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8-9CC2-4A3C-83C6-E1CDC29E11BA}"/>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9000">
                <a:srgbClr val="FF9A18"/>
              </a:gs>
              <a:gs pos="100000">
                <a:srgbClr val="FF9A18"/>
              </a:gs>
              <a:gs pos="17000">
                <a:srgbClr val="F4510B"/>
              </a:gs>
              <a:gs pos="98000">
                <a:srgbClr val="9B9314"/>
              </a:gs>
              <a:gs pos="100000">
                <a:srgbClr val="754F5F"/>
              </a:gs>
              <a:gs pos="100000">
                <a:srgbClr val="7B2DD4"/>
              </a:gs>
              <a:gs pos="100000">
                <a:srgbClr val="7B2DD4"/>
              </a:gs>
              <a:gs pos="100000">
                <a:srgbClr val="8BCB25"/>
              </a:gs>
              <a:gs pos="46000">
                <a:srgbClr val="FF7A00"/>
              </a:gs>
              <a:gs pos="89000">
                <a:srgbClr val="FFB51B"/>
              </a:gs>
            </a:gsLst>
            <a:lin ang="5400000" scaled="1"/>
          </a:gradFill>
          <a:ln>
            <a:noFill/>
          </a:ln>
          <a:effectLst>
            <a:outerShdw blurRad="50800" dist="38100" dir="540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Pivot!$N$2</c:f>
              <c:strCache>
                <c:ptCount val="1"/>
                <c:pt idx="0">
                  <c:v>Total</c:v>
                </c:pt>
              </c:strCache>
            </c:strRef>
          </c:tx>
          <c:spPr>
            <a:gradFill>
              <a:gsLst>
                <a:gs pos="99000">
                  <a:srgbClr val="FF9A18"/>
                </a:gs>
                <a:gs pos="100000">
                  <a:srgbClr val="FF9A18"/>
                </a:gs>
                <a:gs pos="17000">
                  <a:srgbClr val="F4510B"/>
                </a:gs>
                <a:gs pos="98000">
                  <a:srgbClr val="9B9314"/>
                </a:gs>
                <a:gs pos="100000">
                  <a:srgbClr val="754F5F"/>
                </a:gs>
                <a:gs pos="100000">
                  <a:srgbClr val="7B2DD4"/>
                </a:gs>
                <a:gs pos="100000">
                  <a:srgbClr val="7B2DD4"/>
                </a:gs>
                <a:gs pos="100000">
                  <a:srgbClr val="8BCB25"/>
                </a:gs>
                <a:gs pos="46000">
                  <a:srgbClr val="FF7A00"/>
                </a:gs>
                <a:gs pos="89000">
                  <a:srgbClr val="FFB51B"/>
                </a:gs>
              </a:gsLst>
              <a:lin ang="5400000" scaled="1"/>
            </a:gradFill>
            <a:ln>
              <a:noFill/>
            </a:ln>
            <a:effectLst>
              <a:outerShdw blurRad="50800" dist="38100" dir="5400000" algn="ctr" rotWithShape="0">
                <a:srgbClr val="000000">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Pivot!$M$3:$M$8</c:f>
              <c:strCache>
                <c:ptCount val="5"/>
                <c:pt idx="0">
                  <c:v>AirPods Pro</c:v>
                </c:pt>
                <c:pt idx="1">
                  <c:v>iPhone 15</c:v>
                </c:pt>
                <c:pt idx="2">
                  <c:v>Laptop</c:v>
                </c:pt>
                <c:pt idx="3">
                  <c:v>MacBook Air</c:v>
                </c:pt>
                <c:pt idx="4">
                  <c:v>Sony Headphones</c:v>
                </c:pt>
              </c:strCache>
            </c:strRef>
          </c:cat>
          <c:val>
            <c:numRef>
              <c:f>Pivot!$N$3:$N$8</c:f>
              <c:numCache>
                <c:formatCode>0.0,,"M"</c:formatCode>
                <c:ptCount val="5"/>
                <c:pt idx="0">
                  <c:v>5398413</c:v>
                </c:pt>
                <c:pt idx="1">
                  <c:v>2352917</c:v>
                </c:pt>
                <c:pt idx="2">
                  <c:v>2432276</c:v>
                </c:pt>
                <c:pt idx="3">
                  <c:v>3842259</c:v>
                </c:pt>
                <c:pt idx="4">
                  <c:v>3437668</c:v>
                </c:pt>
              </c:numCache>
            </c:numRef>
          </c:val>
          <c:extLst>
            <c:ext xmlns:c16="http://schemas.microsoft.com/office/drawing/2014/chart" uri="{C3380CC4-5D6E-409C-BE32-E72D297353CC}">
              <c16:uniqueId val="{00000000-6274-4AB1-90D4-850C97B4D049}"/>
            </c:ext>
          </c:extLst>
        </c:ser>
        <c:dLbls>
          <c:dLblPos val="outEnd"/>
          <c:showLegendKey val="0"/>
          <c:showVal val="1"/>
          <c:showCatName val="0"/>
          <c:showSerName val="0"/>
          <c:showPercent val="0"/>
          <c:showBubbleSize val="0"/>
        </c:dLbls>
        <c:gapWidth val="45"/>
        <c:axId val="417034015"/>
        <c:axId val="2109873039"/>
      </c:barChart>
      <c:catAx>
        <c:axId val="417034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9873039"/>
        <c:crosses val="autoZero"/>
        <c:auto val="1"/>
        <c:lblAlgn val="ctr"/>
        <c:lblOffset val="100"/>
        <c:noMultiLvlLbl val="0"/>
      </c:catAx>
      <c:valAx>
        <c:axId val="2109873039"/>
        <c:scaling>
          <c:orientation val="minMax"/>
        </c:scaling>
        <c:delete val="1"/>
        <c:axPos val="t"/>
        <c:numFmt formatCode="0.0,,&quot;M&quot;" sourceLinked="1"/>
        <c:majorTickMark val="none"/>
        <c:minorTickMark val="none"/>
        <c:tickLblPos val="nextTo"/>
        <c:crossAx val="41703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B833-4EE7-AA3A-8D2CB326B09C}">
          <cx:dataId val="0"/>
          <cx:layoutPr>
            <cx:geography cultureLanguage="en-US" cultureRegion="IN" attribution="Powered by Bing">
              <cx:geoCache provider="{E9337A44-BEBE-4D9F-B70C-5C5E7DAFC167}">
                <cx:binary>7Hpbb9060uVfCfI88iEpiiIbfRoYSvvm+y1xkhfBsR2Sou6UKEq/fspJTjpO51wa0xh8DYwRxN5b
okhWFatWraW/P4S/PVRP98OrUFeN+9tD+PW1Hsfub7/84h70U33vjmrzMLSu/TQePbT1L+2nT+bh
6ZfH4X42jfqFIEx/edD3w/gUXv/j7/A09dSetg/3o2mbq+lpWK6f3FSN7g+u/fTSq/vH2jS5ceNg
Hkb86+v8qdLm9aunZjTjcrt0T7++fnHL61e//Pigf5n0VQXrGqdHGEv4EaNxLBBj6PMPfv2qahv1
9XKaHmGc0JQnWHz+Yb9NfX5fw/A/Xc3ntdw/Pg5PzsFePv/+NuzFwuHb09evHtqpGZ+tpcBwv74+
NI/m/vUr49rsy4WsfV714fzzNn95aed//P2HL2DjP3zznSt+tNKfXfqdpX3viBeL/3cdQY7ihHBK
CX3pAXEUszimhIgvDvrBA18t9PvL+LkHvg57seL/WeZ+ERwQ+LdP1X2j7hsIh+83++K2f9PmOD3i
CLFEYP6jzRESnIqEfol6uPxlzi9R/5eW8nO7fzf0xcphf7v/0dH/YrXgjt1UDvfjb3b5DyQicsQE
YTil5KeJCB8lIkUMstFPExEs5/5P1vNzh3wb+GKDsL/j/yp3nNwPzf14b/+Tp4MepRhBPvodj7Aj
zFKBE6gen3/i34LhyyH5Syv6uU++G/qDV07+93+VV87uARLcOz0O/0m/iCOaEMTj5GtFwC+TF/gF
cRGTr7lLJC/98hfX9HPPvBj8g2/O9v9Vvrltx/vqN9P8Xv76D8KHF9Z6rmf3talend8/Tn+2iJco
54/QHMZHCDOMEP+hoPEjilJEUJL+NtnXSvaXFvHzWPh+Ay82B3sDfPb/Elr8vpu+WSuH7Lj5DJq/
A3p/fPXztgHH/zD0j+DHF5RwePz1dUwYg5P3DYw/P+QliPgX03837Onejb++5ggwYRynnIiEAx6J
wavz0/OVlB0RjIhgLEY8EXEKUzXtMOpfX+P4iAr0nBpiwVLCE/L6lWun50v8CKUJAElGaZomz6D/
W69y2VaLaptvBvn6+VUz1ZetaUb362vx+lX35a7nhaY0hRzDBfyXwGwEEUhD3cP9NbRDcDP+X0Mf
84kFNmyM6i5xUXtpo/5DTWOVDesoo9EeUxfW/eSslt9Z6idTs/j54d9PDrgtBeBGwCYxhh1BXH8/
eYgwKue0qza4itZ9MTKVRaNesiG4IMcpHeValeTUOK93U4fM6dhi9NAsQm1EF3S90SN1sxTrGs59
wp0Ma0hOmmENckhMfNwPopFmcOIsNo7n07D4dl+wVS37AnV5MXTplRcosWddzU3WM3Yb61hkqSLw
wHRtO7mGGV/QFlcon5g7U6a2Rho7Zm0yrtuKxd0ok8rF5yldo1uMerfIro7Xq2FR5JRwF92mKw0Z
4624mGO1yjSN6ZmyqNmZKFrelKanmz4tKonLsEpdsWlHFpScCOvFLjEmHFZKaZyFIYqMJKmO7J6m
PTlNk565fIjMNB+iPmnjk76I+m5H07jYKSOMHKKC2azVC//AC1rGmSUduY4FVl3majFqOUZgNRcv
+8WX7nRUQ7Sfba/rqzpW/qkuFvS+oc6VEiVRs2RobWCoIPP8blZKWxnxub5pYnc39VGy8QXRUpDx
hDf0RDRNt1fl4PZ+4GZX9tEHNiFxhiYaWF5NoZfV5CYirS0nc8LKOIz7tQ7hfOr6FZxl7Ynnod5V
mtkd4YpPWdnz9rQhKTnoKtT72Ov5VsVtuRPFrHIzTOvWOR5t1gnc7bBF91XD0IY1nSsykdZhZyNx
US/9fCqsUVvbDd1ZHNldS9KkkcmsF5lGju/x6MqNgJOT5GGc8OliZt1ldVKn2VDORbftogrcP9Tr
VkwdPaiUB9lERGw9JWvOxsndMYX5XWotOuvKDmJaJScc97F0z3E+KlNlPRL0LF4GcetZa6SupzGf
Xes2MQouT2rRJVL1OkjwoLtNyVoJmSSDveHKCZz7hCW4zRYROZ3btseTdM7MH0o+xXjbMU4QmBg1
fW6dN3Ba8JzYLV3Xmsl4JtRva2PWc96k8ceGFuM1ihujZVqO1W5p+HIzx0X6tCoy3KSzE2/G0ZFe
LnqKPpSGhFMz1fQ2tgzhPLShT8+ptqLeNMG3Q174pJi3OIr6HRNJWWYzMkrJYHvVHkar5o/dEswk
fUnIaTngAX/g3C27NU2WTCSY93CuWfnRhaG6nOvS5r2aqltnSLJv2v7gGpPseTV/Wseok/UQ5q1t
4viTatPu0QRX7heVmLPeTvqwDqPNcdGtDZgz9udM6O4EJaaDQx3w+IbNRDyURVwcopateZRUUda4
edaZcnWyt6gv+9xg585WPOjNEjfDXVxU/aaaZnyO2jW5L1bfbKe5NZ+gPcKbuZmb6yby/KadBb6v
1cou8bROu0IXYMLA3Zui1O2u8g6djkHV73SZ9G/bMo7fpFzQg3azkF23jEWeWG/nbJrsvOucqxpp
myq4zBQGDw+VIY060fGgnKzLitM3pDXtvElg5LthLXZFuehPRRGzdE8XNK0brJN23ZM5WqkcTbls
WtZu+aLjRYpkrXleTkNAmUJ9o2QSFiYdjsSQh9Kbe4i0sMim0AskpFQYlEcGsvHS6UFl2rZFuU27
eWnyOJ7qzZT2qTgdu6U+XuMFu21PLVaSR4Qfip7jD0mUiMtpWP2hR2lx52IyFHkZ+TnKy2Y20aYo
PBwbb6LiXrOlSmUxivlELcn8diqbMT0UZDBF3pd2vcJ9WbkMx9pvCmXCfVOG7nwctCPHuuZi46Pl
/TJHDckXBYZpfBXdNFPcPfXF4g9ubfVmTomfNmiaGi4Xv4x9zpa6eQfBv6pNvfqgsnmxIt7ZYmxL
OSX9gmQ/ezZnddqPLpvGfrSSzh1+Hzof537UFm9rjRoq2dSP76NmdnST2o7e1bRD73qjTIb6lTyY
aSRZTFeRi3EdtqhS7mIOTDy6eG3PUR9EuYuTETUSs7VYs2ot2t2igk8yuM2c9GO/tpnq0vi2WALT
cqZw6GVLx36/lAMsoLarVbLW61zIGZdjJ5Ut60haZ7sOcia0kFKvi6l2rV2aURYqmeqMsHgNW27n
LtrVrOWRJM91Bzqb9i2UnkLlS1mmU9YG372xZlxP7FCKLbisyeaSj1tqq3DadwUUPCUaIVGfjse+
9a6RlY6jMavburnsCzdlCYXj0EU2zbBdkktXLFpvRJ3GF6X37BzTashUT5rTehlmyKarPqlFP++0
ncwgU87KJuOMikqKLtbXERaY5TNaXSSpn9HzQY8AJIwD2Sjgjh7LpYa4nRYjgmytcJ+GBfGLdbVx
m6ExRFuHFCAh0Y76XU09zTlqx6vItrt4ZOFSz1hcr3ZWb/GYlLIlS5oVA5pq2WlSSNrUSaZTMZw6
rfSFSx0cW8Ii+qZqe//gF2PhzJghlQSpJUisGVozjmIkY5oMZ3zVpwttNtXgoSBPvdtR1HaAIIi+
9aGcz/3awWBNe3tO2ghfVqaKz2nAzMs5jcx1GEckFzqiE10sm7Wua+nb6nqKtJdRu+IMMNnWINXk
AGAfqI+SfGbDhV0UkvVSdJKWHcwHA9nWF3V6PLZzu1stI1nddXpLu3h2kpcNv5x1K0rJHI7r3BJK
Wtmyrj1pLefvoMrNTLYQVICDAAh9qr1ezxfXherATbReM1KyWE6xoaWcPSzoQHRNB0ksRdK4aXia
lpWPO8rN+DBxPSzbevReSz903T71BJ3aqvFE9rwyXVbW6ZJAak0aJwWui/nQGNbBo9UKaM3WU3ND
6dKfuGVcp8xX1HGAfAnUw24y092YOHI396japIqvNZTQ0DM5simpJfRs1GzKHrGHtbPpFR2K+S1e
AVJmvTf2WPG4i7ORAPraDA61b3pVu7DBs4fzVC9CXPauW88tGvx+aFJ6W0aF2CNCyotYMf4uODug
LOCpanPLWegORTDUwqIZrMRDAu8yJSpiZJ/Y4UlYYvTWr6SOoaKXy00SJ4mWgNgJzZqlRMkehXY4
nSKh3QZ6h/ZUl3X3aUwVTKNKHPyzXyjkVaeHKsOMQhIzfk7c6dDP1XzR1JRVclDR1GRV7f26oSpa
iguFAm/yUmHweresYKDSClPlFgBxsk0WTW78UAzR8VSkCm1KT4g/Fqz3fIuxBdDRVuJ48mnFAfag
AAiYFUjihdrjriiFA7RG+G23zuQu1YjdwaEu/TGmQ3xSYx1OV0g6FlK6Td8sXeGbk8Cs7iUycz9L
G0QS59yIASBrF7qTtamiex71JuRFtKaNTBHAqM1MGmcyAp2D346ITUMGPhHDsV6K4q6qfPl2WCpv
Tlc9Mn5IxlkdqnaYtnrooyeEy+LYFpi1EkFVOSxhhlTccl2+i2eKNHQJ0XgH3u7OKF7LKlvreDwk
kMz3havIyUrVAECnGE/rtqxMlhRtO0vY+maBRUxZYDScdz6pdJ5qVThZAjya8k70ye2ISN+pP+nH
MPqxHUtAngA6ELjAhGNKoR39vh1ryDROlaHjpsCoOrSj+tiY5qbH3btY1DckaaCwplrkADI/uNKv
V3/cD4JE8rIbhOlBv3pm7IGxROj5+netqC0cqe0cjZuhcL2M1q45BeNXJ388y+eO9kXTCdMI8txx
IpgH+OiX0yxu9WRe6bTxaoSe0E+dytIojvie6pX7zPquJpKIRj82UJ5ITua+qiX21fwOhyU5LFEz
nbKuHq+tScXZs8kyRhE5j+ZueUcINArGMtVkE9TF8TJGrC22nzfxlQH52jt/aeMf2m4ZjNJfVcdv
H/9x29bw77M29s8vn0XLf346+03t/MO7dk/tM4/kfrzpeTXfngWL+bq6Zw7kxYd/IWR+h3L5Ip7+
zsW/xscA1sBAIvw+H3M5PU4g9Q7D8htF9kxzfB32lY8hR0TQhEKIJQR67e/4mOQooTGwKwnDCfly
5Tc+hh2BpgEcOcEJExwK2Dc+BqMjTjgoGnFMoEuE7vn/ho8BLijllKE0FhTBn8DHf38Ikk485/ip
30Q8eV+EKXN8hq5FTWlWQRGRtp/CVon0tGvih+8s9TWmvqeCQIN8cf5+nPqH80dK/Nysun4jqJ2k
0s5KXa77zhYf5x7zP8k25Hkn35/DlKAUxxxwIgIqixCgxb7faVn4ko20Wba+tPRY9cWYiTLt8sCJ
3QI4eIdUWe7A09BmVRPfiNSnme1Qkns2vfNt00u6qrdlbS+XMT1LypDFU5XIERV3fV8Ar9CPQNW0
5QmOG7f5Y1vhnyxfgOLIk5RCrEBAPRNr32UrMtQuZR64m8SO7R5yaulkO0aD7D1dNtG4AizvFp4D
lgyXYirNDS2SCxJ6lHughSSa+nd2BSag5Oh9RJtTHdMdae1HlfoEaqI5QCtRyjDDvaSeS9nwdZVq
5jvW6qbP+NIfAAqj26hBAJWKati3UZUvXsl0vVpalJXabHyir2lS7tUyf3Q2kXbWGz/VeSj8mClj
r1Jtr7tquaH94zLQSUZBfggmrLt0YUs+xnV61g4Ceh3c2YPg0wTQjDU751iVJxw2E5r4LR1wvCMV
UbfMoqsmqoysBMwc9746JSos92U9pjtAiGEXQGc5IWUVJO0blEqGobekeDIXy5DOklZzv0epVdsk
LUKeADw6ptFcnHJuVwkgwF3OvqBAFLnmeHQt/xAjkmaqMe0FT6ClmESnJtkw9iHYQmyA0iEfu2T1
T900omOPT2ai53PoCZQGNOfctoxtu00YWY+bCaZAbM2ob/A2ap6JBFM+GtWywyy4yAjp5y1l+Cpy
3SDbRR8XtnpvuD7uqXijPCMyBdckbhn22MGArizMfq6LMq9q159hTjZham/TCvz9xwFJIAG9OE48
QZTCEaYQkgQo4x+Kt1At7rtxwZupqhrgwpK1bbKuh/4za7jqdgxS1615pm3WZwJHFwnuZcd7LwvT
t6c8jd8E4rPVF83JPE38KTwzQLFF1c4lhcuYcOhax629c/00naWhQJ8+b+H/F7Wf6lL/FBkouB1y
8e8XtRd63b+M+6YyAH8PggGQac+0Oocy+VVlAE0+wSAn4YQzgSnoBb+pDIQcIQJfQBKG2pZC5P6z
qiVHUARBpmdQ1aDqcvrvVDXAVT/GJ6PwWgwk/DjmQAjS9Ln6fJ8vp4WHkURhs4wd8XtmEpMH7xhw
/Jp+UnYEyDvWIFfkQfh1kFz5HqgOhfCJiKCZ3fC05EB9uaR9Vy8gm577CSgqiRtHHuIe9LTcrPEh
DRTVcoDcgWUFXY6WRVRW3VUyGHMX0cSoG7TQub0CFqFyuSnNCAw5bWYvh4YVJIcENAx5qTvB5bgy
ayXzrjBS1JCFgdyuAaQvcQEURZs06rIZFf6Ey5ZuysCIyIBvFIfe9tE1sToi55BSfJ1jPdOkkwb3
9mIeuvkUAaT0IBwgBxsY5mNo1BOeD0nri/OiXlID6d4ge80teQdIe8G7OUJhkn1KDFCpBVtkMBo4
jzUMtDylPsYOzrnTwNfYoIYc6BVaZr0q9S3lEfTvA+hOKF/IkK7Z7EtTXrgYoQ0QZeQN6118GqF4
UdvVcV/tI65mezyEbtKSKQctDksp6uTiRAUqS8npFRmBosk69FwzoOfMx5IrOXeKXKSVa0/xwPVV
AKHhPbCHD8kwrqV0wbZTDhRxsmFidqNsJ8aloJW5g6exrfJquCySiLeHpOrmSkLbtvItQ4pe2wV6
7LNGFXORsWqiQobIxe7QLGsUtjNwmKUsGErWMzqm0HaqFHcsQwD0o/2QiPJu4Os8gYqkCn9WDGER
GWgrjuR8JsllEwKeM8ML15xyNLZWelGNjWx9h/fJKGidOWBrxAFRC9SxDbWxkrN48psEmN49CXwc
cxy3pN2olcDfo4+XBZQVbYrtYq2vDmhp3bLRNUDMjU47qBVUdeHWaR1V+zLE9GPHiv5NraF0MzUM
j60rcDiGqANWBIEUM2z8MI5QE3ErpAaa6aAqNyrZr+k6ZCjivgY9pmDHZYnij53AU9hrPHEg/oNy
Pu8FAY8tg2qP43nsvDTdYE/hlUV9NZj0Mm0se+PcFJpsLProoCasj/k8pwgI4Lq7402Jr6NJuw+r
WNiJSOzet2TspYWpyU0xANaQbWVGcmsGlTKJEWgS2YS65cY08fpY63o98wka5qyaWo0vhkmlvQyt
JfOGNGvn9ytS9ZkoxTDuA21tn6PS1+/HaO0vABuiPh9Et4Bwh4RtsyiJ6W2/6I5KRGrWA6/M43Fj
bZOc0rHRSd6pxaSyXCKFT6YYcoJ0qqZnQ4cnmgNjtVQyLmvzYRQtCZt0oRDtWEVrhruF8LztNfCG
HBVvo7UqQJnwNqtD2zxWXTTJatBmqwoa7oSHY9e7kqc73A/1+6VScG464cYL1SZDRmndnjSo8rdO
sVLLaqkgF1QiHBsQ9i4HkYQBoE1c7iffgn5iMPSbJfKk3veop29wbR2QVbP6kFiixWYdx6q4ssEA
XkqB7i52AhSt7USU/hi6qF9kqTnxckV4gvCo+lvDUHwIa0oNAKymjaRmcyxpkbLqsUv0cBwPq4iz
IvD17YRV89ADPwtaVhUHtdNQcbq8tin0ydCDbKhX87nu2+hQQMtUSq/aar7pZlMMmU6WQHMNZJzL
BlH3+JiRojv2rKumXVhABZZuRV0JPBEFaXItIFazBFTTO18u6QVweC0wPyb6gFWRNm946SKUzwEO
ihRWIGBv2iTJUyiD/KGOllhWkPR3yTBDeOq71UToI3AYeMNJW26osQPIc7rPteMsghRex3mLDUxJ
len3jLoEzqiIBaR9q8bjfllEc9uGKaYZpt268bQvruslQrdqsWBRRubUb5oEm3lT0bK8QkBvUTkh
AmQkTxMandCVlPfMF63fK4Mme0ZjIOu5gpSTlcCObjpiEJPrNEyXhbHqFnNIc7lXIERBvjCizXHS
QySKpImeOUsxvxFAsK2Qr7AppAPLm83aUXZVhT4iWbU0dZ+Zqek6UCueWVGS6O7a9CSCArCmrc50
Z1if6QgQxMFAcwv0eG3YBhoHKzKcmnBiR4P2EMxrdJgarA4htJ3JPOADtyeRGYrt2Cdi31SleWRB
9HfNNLRXkR9BYQi9WR8sjSqAxPDmQgL1YeJtDlOMdeancj3ghlq7d0klJmnM0i8Z0JmESs6fjQC8
EzBoti4vnV0XAAhDHN/zfoVCx0FDvl1a7s5a1M00ZzZYJ6mF1ComHgvpU1WfBxBPr2Ou/dt5acUx
0Nci3qIIiOWyRnyWoBw7f2bFutz6FfEhn0EuKkH8GPpuHxhg3XSmyx4kb3xezCCPyTaa20q2QO33
sgHauM25T7nEJujigi5lWPZ0KjtxuXDmgUufU30WxYN4z5IluSpJdNLHpQkyHevrqRbmBJfrqPOi
wWYXQ5LLC+WjfWkqJPkUPpZd5TPTQc4kyNn4QzLUvMoUWfndaKb4k+t8ATR/aO9ttGKdgXpgDyjM
VkKOUUB6qvJmoeUEFMFUgh4z1GXmAzHXUd+kx7iHl4p2Pm6YrBXTeVWVg+ywAuEJlC8tpxUYZejG
NMlSYJVlSIv1OOrXYpBIEXZNq6i2HzQe1Sl7ViKh/1z3oUYTCJQC9GLdzTHOKlj0rlTtzCXHZNyN
Ws0nkZ4VzRCbx02TmiXd4NKk576Phgeg3dUj6AL6vXbLbYShsEpSKmqy1A/t1oSO5vWzIALQIwWu
c4BcNADyWok/0GZkH/tId2iHm4pEx74sD5gC6Q/6Ib8CBb6WiTX49vn9jA8J1q49j8vef2I8bWbA
BpbUF2wExjvX5RyxbUJWm5GFd/UG4bnF+5ba8FERJR5n2hj/ti3mxkDnjdvHPonRcDUXJE03z5wJ
9Kc1UuOpERjMqJSYFhCbiu4xVpUHEZsS7Q8FqiiD6mzJIivc1uK4aWJ/0yO++hyI4vpmFq6ND21g
9XodD/21d51tj5Oh94uMxbxcLWncoCxe9Rkeg9mbZHEo02EYd4OGkjVWY91lKdWhzUhfwDEBID5e
mnXQhxpenjhuysjsCzHHF9BI6lnW49xuxgAUU9HCKzgCBEeo5YBBHgcahzdJk2oQcGeSp60igKJb
/jaKmmKRM2hk44E3FWvuQSYU8MYJQKPbxZT0cfJ9DLIiHZqLSbj+7RQqlpXxMuPj2C7VqSNtWmVV
r/AdQRS/ZYDVzt2YqJ2ovKJ5Ww+s3iU1o9UGkRDLsHRdn8Wglz5AgaxyKFncZhGP4ruxcPdk6Aud
BV9VwI0Q233qbN/fYZN0kcRCpxHQ6hMAjsgszVt4gUDdziBJdYDdOLT/gBdvgNwNCYdI7sm7daZ9
Jvq1mh9GWjeSRhSycWE2ATD5PQ4rA61Q35SW4ENEYsj8YwBC8LiPuWB7tGK/nlpcWZCnqmYqz03r
Y5KLOUpLGVHQt/akc2zdwl91Cjkv9TpDGNrzremnbuvSPg4nEyhdt653TZIZosiNKS02OaFQyvVi
u+thceoaYn/dryD8YGk5lPm8Wafp0nCgooWL4eUGeCVpSyJABaaiT8AbEJd1zRADbuRlcnClW/Rd
3Xfaw9s8XaFlDW/CAGKIET7r4n66pHPIo7rsZJgms+mZDseoFi28mcJc5p3/YKfZ9NvJrbbIdJUO
QsY6Sc5Bph6v56hYd4oQ864D2/4f9q5sOW5dSX4RJ0hiI1+7m01JlmXJu/3CsH1sLgBJECS4ff1k
n3NnRsK1rLh4nleFAkQDqEKhKjPruutWI4+Ed7K/qoM04CfZ0rrOQl4RiWRLEHxBgcUGN02gUR+2
SDp9WMjMw1PX0IgcWzP3P0KViPVQ4KK9K+nlcdaLUfa4vdP1Xb2thTr3ddpgC9n+hdTV8hUIh4Kf
mqUKo2OC9dYnSjRKqMSsX4e4RGW0jiR9U1ckfI8AFx62QfLjvFmDtA7pV6Cfhu3MN6GuTVTs9dWc
9vQ1Hg1JcTM0Ov7e9JqcVITnzAlBxi6O1Z6ihLTLdf26xpfyadwh8YldLLJWDShMptix6SAkkU0G
Y0YCZtnl/B3my29HqVCQr6IQt/tMu/KqqCqlT3Olzgsq5uSwFax9E4cIhrJiCOvoZkyrggP0Mobk
VNZBg1cVnjf8iEfuniOHG39lEy6w4z5ZvF9pGdLysFnFJR5KKd8+oMwS0atgImlzrkeUO+bBsOu5
stGXFsmf01gxcyU13PweE1Mf2Mbha5DtzEwHPE3LkrJBahLP9OO22qY/tDEfv9JgQHUQOcycAyvz
0dSJSk4lACLyXDSKPwCL0483Qx8X4WlMC14AZtDxLGmBbzjYBTnfwxyXiGtY1a1vEp2kQOFMdfpX
nZLkHRnLD1WaGnVgDU8Pfde3OLq7OBNRh3kiw+RmG6PlkCC5eK3XWt+LGUlKbTggjriblcq22o5v
UbaNDsRYsZ3qrh5/NFPFp3Map5O5ElOnLk/26S897fOb1TR9hN+GpOSB9WWJS3rdwm90WsKTwj78
opLub1HRBpxO1fyW2oo/NLoE3qIqltf9vL8qRcqmg2Io9RyHdr6SlP8YLQIelInEAQie5RWQZ+/q
eAjzsQHUEIgS8mnfq78u+D+scc0Oltd/oRzWXo8FSuyqTrDeDSJkVPvvaBvom5aNmNDc6/sE1/C5
nkz5FTFF2x/g/Pg7Kr+FMWNZjXOEQL8jp3pjXRbRnl3LLtTvCj2FuUlmc4TjPPX9SPKo7sRfVgUR
4JKGXhMtr/YuiUtAWWRzQmG1OzetIe9MFG2vxJ6E31NDu1ccBbZv1ujiRAvZtud02sL1Ssmelxmc
5PJjt9wuh05Gw3EsWHIzScAXD0OM334E9mf4xiRPAFjgA7vdLEFme0VML1E6yZtGL1e62PDcn7W8
XxKy3XEGtATAe2q7XdYZUWGyTPvPrRllg4RRpwEraZP3G+P8dot1c+RjR/EmVgky9DI8xYjkf6pg
NbmZhr8vk89DOtrosPfMvh45nOjEm745ahTXi7zt0/JqirZ8UInMuwnwvIhoJD8k19MHhLsDEhSo
XxzXv98cqy5Pw8jkr4RU6TUz/f522Zr9S6RK/rbrN7sewqoZj0NMt/HQhTY61qhNozhf5axX10uM
5G2lIv7GShrhB61JgJJ13yHYCVp6JrYvjqWY2O2s8D61gg6fFxO+EtHWScA2BXurUjpdDYDIPaiQ
InEUAg51lJ38PCgSfi7CVgOOaczdQpYoQ0UmPmt2SZ+Ny0l3NDoiomH31cB4xkRd3+gQQAuy2Suy
irsEYd6RDoK+2lgcIZBK91PMyJB18cTwRkb13IxlkM24jM88DRHe8bK9haNqMphM8qkDZLU+lGYY
jh0BriGOyvcAeqVzXofz+p7zdTwDEznhfKSWvUmAtOSHsuHb60UFSwaPux160qnzNpXDzb6XOn61
Ro1GGZn111tRjV8ClFjeMz5MwP4M+/hhn1NEe6Ukn4a1CXPRyhC7uodXmmP/TVdOmRhVU94M64Iw
ZKkWQC0ZQ5yzS/F97dQ3HuCHrH2EfMG0tz/nTRQ5/EP/dtiXBeFQEdwpMiQZLZZPU4OL1UZtdypV
pfucrWw+ov7xtuqVuNOsaKPDhOfAdEgrPG8OxcLqV6E03bUITfIznMh9UCDsHtdgR0BWbPecbjxb
g2k7RqMKDpfESbMGfV6tzXTN1x25qa3f+Ucet+wLk8ExHCvcJCVQtmKYdL7hvZEFQBbVd8XKtu87
YEMfpFzDX4uxAd4DKbu3OyC7nO3TnQ42ubyuZl0hpg6qq3ZXPwYWxWMWkHG9Qui9/aqSpr2XI4uv
hnkeMhO20/YQSkCg7Nad52SKisO2jShIrTsrY4TDIhiOsqn35QgMp30ISQv8IesiXHr/FBr/v6zw
T1nhx2Ou7eOidxSh4vp8UeEJ5fRSJP/7//8pJqTiv2gUCbgzZGFAD+Mobv5TTODJf0WAZ6QJgBMh
8MMXSP+/SuREgJhwgfNz1CAIeE2oH4//UBZQPOchJWkiYpRLOaro/0kx4SlOJIhRPKCo0V8oUY8r
CGOxFr2sEWhX0Sllb8YZ5L///f2/qX8/N65T907jeuajWkU2sUpVh33ftk9VzNd/6Mv/8Hr+g+Gd
in4jArktaycyoIaMebtwvP/fl+ve/1M+e3b8SwHl/+rp/7csl8LLo8JK2u4ysbLggKuzcX/QUZsC
xkkaFh0AgQCUhZJh+hcA5dmPPbdW2P7HHxux981yidfWEQibA7CK5aUQypOvf96LCwjndz/mAlF6
9GNEOiA5iPRyZiNNX0fRQvEyDpsQN3cydWseiJ0bAOkG/fbPH3zmByVOGV8noZ7F5YOzSsV601e2
sEc6WriqP3/gMtBvftGF0/X4FyVwceFkCcsWOYrlhqN2FB+1HOPqlsmqiV9HVlqJ9PHQbXgTKhoN
57CrZnP15+876K7/PR+Jg3dCBIjC/7ixzJYoqR2BZckFifBQJgMSSEO5oGxgNxHc9ksZyczGfZ90
h6BM4vaFGvVza+yU/lS5tbNiC5YgidmRmP6XYEv9wu97bnDHK/Sw1CXZJpbhfhGfw37rDwWSjm/+
vHrPjX75+6PzqJKm5iMxLJOkrn+GkJa47YJa2qPf8I5vQJqR6QHP5kxNYv4YLQM9rMUu/DxP4ngG
oxbAd+OBZVMf7HsWrsFsTkDl9sJz+o43iFcwXDbVwBv0SIceNwRr9DAA9JGe/NbHcQcxSjddPwJ4
jkBZ8PuxBkv3YztNwQu+85ntFY71j0lo8aBmSb73UQt8LAV+Z63laF5YoMsh/I3xC8f4U0BrlUUq
IO8DIInPi4n0nKllQ0JnqCuaen7GMXFC+yIBPF/k02Tj6arjfRdmexepNdP1tKx+puaW8Id+Hgqy
tkmuY7m/l2ar3nSCp+//vNfPrZVjyAseNtGCsAPPmrXO1GgEuS3p1g+fJEvk+sJSPbfjl78/MugK
UBiZCJ3kRtHtOmj38E1aRsgn/PlHPDc8eTp8X9RbiMXhOagvMV52zUq/cPAIM7/hHYsGXroXCVRg
8llhByZVthm1gdCes3fs2dak29TWJDkdZ4k9AGQjOIzhVu+eH3DsWaYBG9IVqw9Y/iVBE6F6nplG
7Mu91wJdAtfH2yvijQBvsPI8xWPjowC+636tS1RE/zz8M7EWd+y5TYGMb1C1zls1ojIo2nawH8mw
p+HNFFSpeADEnvDrP3/smbPksmMF6mDA+zCRa0Kn+mrayYq6v2yX0M+euXMvr6jE8QmAkFyOJTiM
YxvPyaGx1Lx0N1+W5Tfu70KlfrwbW9mUIaCLSY46kwaopiRC3LfBPvObcipama1lvHWfVZuQr7Yr
l+6FlXsu5uGOlasV1eMeNKe8V4nSN1UwArh+2GWKsC6ZloZOh25CuvdYV1y3Z7nupThxupD+3Rwi
Fe25wI432AoeiEQGyBmJwJ5IvYg8EYq8cBgvCOjfLm/8dHnZjDrQEA9pTsLd9NkeAdSZsWLf1ZUG
23x7A/Zi/0sHdGmv6J507G4Fhrl7HYskaT6jFsXYC1N57qg6jgPQEKb7paa5FsVIjnxPf+p1Re7Z
zxIct6EM4dG2NiI3gV7ycgIP7FCSpPzLa3jmOA0bGZ40KD3mgBkkXxiu0rsxDFo/n80cnzGQEpW3
QIDLrfCSOdooafcD6Grb+MIpe8bKLuoQj61srAek3laT5NOGquR1Qo0JgQOJYHFVXIX9oautbg/x
znX5Q7f7GPttC3P8B1k6ZEBjw3OeFK09aCRwW1QYaOB5XTDHf+zItw2WG5FZJJwygBvK08774OS3
7Y6T4EUads0AqPNoyynfOxTpuNHNCz7oGZNgju0Dj1gFK66GvIlrgPKmqDkhax17HirH9PHq6ZOo
7vc8xrsRCeToU4eiq+e+OtYccWR9V1WihCe26TUyeCFigaGKGs/xHXOuGjtpYrY9D4o2vY7nVZ4K
ktDca1tdYD7RM9OTxOhTARLcQgQEDtqo9ps7daw56QDKmAW2NZji6iiBADxwiUKw39wdU27CwIRL
Me75ENXqPKZdCQwO3c9/Hv1iNr+5jqljr13Bqn2PggVYUvYTz045n+kkdZdPC6Anf/7GM8fe5ZCR
WcxdI4slJzDctylY0pcSk/R7jlPHZKcOodCy8yXvKePXUGewp2brPN0NdUw2mlpVJHtj83JU9FWt
wH0ARdVz6o7F4qIupIzIlA99U0RHw1CRF9Uqq5PfwjtGy4pyBDgIaR7d1euNnIBIsUWhPI3KMVnk
R4M5ss10BmZzGd+RJUzUG2YS0My9pk+cOxgQh3koZ6Aw19LuoPmwL1uK0oHf4I7RsiaQNEmKORtU
hbLvRXRkSIFF8xvdMVqiGxoXTTJj5YMvJkZ816Vr4betxLFZqXfIvoz8X1On8RAfGPhPnlN3LljC
kgJ06mjO0gVJY9BbAM/0XxjHWmU460KNGH1tUMS3CVhlAKI0nnN3rLWiLOmhaITRafxzqKk6l3Xp
mdki8dOYCgBvldQlBk93CwUakILx8uKrX2zwty7SoyTEOgGLrDYJ8PhULIc1mmPQq8B/8zuPjq22
lY67noQ262YInixV/RNF6chv1WPHTkfAN3RfLTZrZQVJC8q+BPMYew7u2GlYMEO2CgxgMYTdaVzr
b6PdR8/BHTMdxnRtEAnbDMAR1G0BvjxYEwvP0R07FaQJgMFJMfXURq8h9EDuQXxXfiUql9y1Qpqj
g5SXzaE/04/gRSScnYKLeJPfmbnI1z5+Q8SAbbWoyc/5BtybOQREs1wv8fTD60j+TaZ8dOCBW45N
v7a4WUF9vwGJLzoBnLH5BcN/U+MejW5NoQkkYWw+peRr1MQPIyUPfhN3btV13Jp224Ipr6vgDu7x
yxYLz1xh7NhpWgOUFnViyoFRAxG9Yu97WfR+Gxo5dtrJMTAXumYe1FN9VI24FUAX+R32i/Duk9MS
kkWPwKFkECL6q96A5WTtCzT9y4H7TYwaOVaa1EsZ4L7ecgwLhtAejxUH7YiUfq43cuwUakK2khSg
Waihhp8pgD31Yaz3yC/SiJwL1Q4qDlXRW+BJzH7qV/G9qnXhueyOkRZJPYgZImc52yBs0bbAzYzy
pcrrcwtPnu5p2nFa66CdcggUpq+TsYxeq6DQn7zsKIqfjh5P8WTANMJxrAA2Je3yWSS155Y6NrpT
8IoLKADlhs3kECXrFzUk937zdmyULnRdaoKxg2Z8DzDLaygUvfYaOnQstF+KopwIsEZhEQTHoClu
6z30zA+EjoVGkdZiD+Ig4+FF7058SaBk4udaQsdEgwpxuumxJqrqHnpADYu28vPkF6rqY8dCIR1G
ViTws36HPs4Sv6LM7wYNHcPUG5t4r/G24215m/Rr3pnCr8zq6pbUalorazFp3QJaBpFC8dHvhDgm
qdLG6F1iE6Gr992s6UOycz8/FTr2aEEgWbcFeN5tbKL3+zbFeWPJePKbuGORpAO+tKnTKR8DQAni
Tl6lRfrZb2zHIqWqRwbF6yADyhkwhZB/A3PO72IDifjp+cPBHgYV4kquar4e2EiDUwrdCS/Doalj
lFAZEhNlcwA4/TsDShGy2D5rQl1JG4iLDaDvbFNuLxzQhYz6EA38vd/gjk0uqHdtW1eMEA7UV4tC
bR/cpsnrpED55+mCG2tDGSgMnih2T6z+UdPNeK7K5aZ7FBZCA2YLhwR6SqYl9wxjr3b2HdsxzWip
ofgBxl4OaHx4a4GEhwQEZE39ltyxzmqks0I8i4PCdlAFw+aD4pVXgEWhVvNkVdbU0kWmsPyVbFNz
DGnB+1OMCKj2ci1QMX76Ab20tECtZspB0/gWLPMnFB8+eK2LC9aaCZhXnGBdrC3ZabCQ4iVJLLzi
CCSEnk7cVLNAPnrFxNf13vbhzToPnhbqgrCgSBdSUZERFAXyWgFwCDkDEfuteOJYqC0NMJd2nvJQ
qwfwMI+NqbyCFGiLOGtyUf0tSTvmcczi49JGYAfQ5pffdjoGuqGiMCbtNALNwL+UI+jQgr3zG9qx
T7DiCpnEgcm3SC0H1Yvh3IHNlPmN7thnz5YunYEVylFC2kG96u8Ege6z3+COgVodQ2o7WkzeA2uj
DlA/DF4Fc7i99RveMc8lIPCK1GJH5+2vERHcOibfvYZ20VQTLp5K837MQWt5u2p9Hbat3zl0gVRz
kUjeKGryfR6gYLSU8SlQ3Q+/eTsBbb3TYjQgFucppNsk3e7a5KWw82In//6c/TfVkyVAPnjWwuRV
OzMLXRLevB442OxLE9vt6Dd/x0iZ7FZQ65jJVU2+qop+CrR87ze0Y6IrEI+Ki8LA/mcIeY8mghAe
9SvVQZf8qXcp44rVBpq/OVCvn9o5uDAu9Ue/mTs2Wq2DhpRmNeYsrumS7cRuFKIqqpJ+l7Rw7JRW
JXjlicKRXIOHuoXqxeD3FqfCsVFVswEPZgxdbOnDFNZvCsK9ylDUBUipZCtaUIpNToo2ziHcMT1E
5VJ7IX2pi4+KxRyyGfSlvAj37bCZISfUE51GXTxUuxbBtEKmFMrNOjyEszgPC1SvvY6Li4WaDLUQ
lcGSwz2+mrf4lWKrnw25KKh0KZVthtLkAkxHiLNtr1JornjO2zHQFKckXGNp8qif70k03Jpw8py3
Y52mRnWCg42Xjzz5BK3xByUHr0cc5Y5xFittZakbk3OszCEFCP0wbCCl+e2lY5kTqP5B06cD6jbV
cDSxfID+7Qe/sR3TDEO8szoIlqDBAmkhz4FERWbDgPstjAtFapoUqLRmg92kW3tMLOdvVR3ufjvq
QpHmhvECWLsh31MTgzxG73CT+lXPqQtDskGX9GztcVx6SFtK+NpNjlBFSWfplcNBhf/pdQEscJiW
a4e1L6tFgC4I2E5R0MGvjkBduNEmIXtn2kLnSTDKAUxU3f6yqVg8H43MsdUIHGK6pIGGYMM2nqDF
ATYnSNZnr5PpAo6EWNcknEOdg+IdQ3MDIHbIEnj6R+ZY7KSAwBtJp/ORinI6RHssv0HPGy0C/Gbv
2OxaG26WFWvTV2CSQznmAyi/fncec2xWxf3SBsJi3btEX0E2A4xS1VdXXjN38UYzgdKXVovOm4Lt
n8K+KNGeJdHSb2FcwBGBn2ToB6PztCuG8Swge0MP0IqG3pXf/J3oF8U42Xd6xsqTcbk2JvlQDcov
Nw+ByqcmK2SLZgGT0bmg07u6HB8WOb3zm7cT9ZbFthAFzZJcdOnXrgefv4KalueiOKY6IGWeBLbV
OTFN8lWgqHBlJZj7flN3btYpDNZtR/+EHJaaHjigL4dgC0TmN3r8dM3NFqBGD7GBnM2bPbBI36Bh
yAum9HcI+psHDXXsFArqgNdBXSufuSzB7227Bs4GElJgrLdpKa9avS3vbDuqazKSgEMHCMzx96C4
ieEe+b/RvEMfHn4lUZfsrxrZQRZHKAhM3ZXrkITLYafNYD4sUK+yx3AbOvmth0IeOPUILGNIYyHX
ngltVwvpDWTJjmjpMK3XaD+UNHks1opeF32zgBodIpvwOQCydztHEOcVJyJWjLlAoW4/lwME8cG2
i3d7buN43U/j3JLu6yooLe4nygN0noEO15Anewwuulnxe0/Qg2AZhNlYcuxEHMkj1EFKe1VGfZne
8qQDL+zSyuMd+gYtULHg5lrXo9nzsE+T7by0Ch0kZkNLdEqC4hRS2Kqa6bFUGiIN4Zym2zExNRGH
tq8NhGo7COFfKxJNNIcQJXj2jMj5et+D9s50c0hPNIQg/6EpTLG/UxChFH5RCHUcZrtSy6Ulfc5Z
1SPrg5YfJWQVvI6ni/QitNgQSCqIGvD2Z0Hlu0LUfvO+KHs/zvjOqMSsKsa8mS1ySFXeQOTWLzlI
HC/JZiBTImSQcojLQ4YmSKG9BSEnzzVx3KRBlxEuUbSDaA70T9Aj6RdvjF/QRxw/2YDeOnci7HO7
WfTDWaAd1ZOp9XNlxHGUFYfGXQfdl7w0kt5SxK9A/tvpi99ZcRylact5nvXc5zIp7UcDUTgk87tk
8lx2x1MOXT2BJpL2eYqk8oHFzW21l35MM+qCvEKYMKMJBB+2XhftqQ+XJof6d+35yiGOkUaQidwD
ghMJPQ22ZvHYWbSGCRhUM70W34V6Te2wFEE19TkKVb8WTW9YMPoxOqgr/q7tYuZhE9CsCFPgyKZR
rOoIIaL4l9/cHXOd2bCT2cY6V0O6JwfRDwQ19iRGVx6/DzgWu+hORSF0KcG9iSAAKZYmq+vaM0Bw
8V5aLEWzl7jCUaNBkxAb8aMOljD3m7tjs0sIqjSrux6sWqVuOJkhTsQHw/3w/dAAfeqGx6YrAWTq
4YY7K26qjoRf8abd/FLBLtpLrO0A8XfEq0hlrZAgLWwuwkl4HnonvomJsml9uZ2aui2P4zKUBzuh
b5Lfyrs2a6IV+rpJnwdbR35WQJv/3Fvb+iE/qQv6Qk+LrqkaqXPGxRxcy7SLjmGxLOyF2uEzvDoI
lz/dWXBbi4KrpMt3FRHzXst67o8Qao31pW9h8B6Es7sgSFVzQhQHbVGIISp+riAQ3fvtvosPAymY
h7ZB/LlsQ5UcIVEHAYq26rQ6e22RCxCDUO6ON8vFMxVQrXnVQltT5JAsncKj3wec+3gPrQG9Nu5y
QiIo9axLs1A0T6KzZ4AVOebNx701XYwPbDYGbHm3n4De/+E3ece0oTG5Qah973JtuvG4luTXPjHf
iTvXcTns0ThK0eaIbc8qljdxPL7wbrn89t88W/6mUD7CArRBEKJ1xgSqC4UysUS/jQOIJG/9FsWx
6qlSprx0+MohNZlktoJAWstqz6vSxYktou67Djua12YNvrfNQn6YANeN19xdoNjY0A7q91GbI9a6
E9CqgzbnC1ouz6y5ixMrV9QZuenRLGSNq5tImeRQ1v3id4m5ULFF8jqZJWlzIpO+RHOsZLiphO0q
PzN1AWM0XXsoVoZtjsaw0FFOE6j2RZvfPeBCxozuyrJI6w4yjdVyO5qWHsXUzA9/3tOLJ/nNYQ8d
I00Xuc1LhPtd7XRAyB+OZZqpMOp7KESSvvOLsVwMWbLxAhL4ZZ+HllykK9kEGTsZhFCw/vPveO4A
OXdxG9TjMKc1ziaL36F7y9syKjyPvWOyULKYkhBK+KD8Qk+8hmAyFLmjzmt70TXq6TXZ4TAGEqjA
LBKmeDtvgX4HOXo/NhNUtZ6OruousmE8qosPTh7QbJrlU43uET6LTlwsmUZ2ISzaTqEYjqxEPyQP
AcTSPRfGiZrtNnUbum0qIAQg4XQE+XD4gqbG/ew5vnO3QpCmgIylUfluxHfkjl63ovrkty6XQ/ro
BqFziGo1GIIgraLL7WEY7fxzIYOf9AZJHZut8XzrquKy7DopkHAck+uWM+t13KFn/3TyfdzYdTeY
fFFWSDtFMRSQ5ep3Q10aoD1ZmpTv6Lc5Iv8WLVO0ndA0ED0kmq5rZq/kC1Qvnn4gmdFxG5GtytEh
dTslZRje9+DzvfXaWRdVtvEaGa5lCE5lVK79TRNG4V0ca2ZfmP3fmZZ/98doefZ0+pySeOXc4uhc
eoi+GaKos1e1nAeDPmfMxmdo6aGj7sDU2t+iuWay32rRDO2XOCL0bNGa6lrQYGNoiF1YqCtsgZRv
2o6taMM6DFt9RC+rYv/eF5C2PXcad+7Roh3aD9JS+mrWzXSz1dV8JgVEV9MdGhiQvm5rur+vIvBb
HuRFp+J9Vyd6POHBRtEDq4VkdhUC+XnXaKgTn/DfY/2axOhq8MNv0Z0HOnCNaMADQnJWFlFzB0HO
9DaG3LXfBQul86dL3geS9ciOom/8Gv7k8fCAnvf3fjN3fAzemlsb8EVCyB84WxXT67gfXxLSuMzv
d0fF8TLWBmgVjj45+aCh1XFtRmiRn1IoZ6JpAV4I5TWUm1XllV2DXt/TRYqGlHE6M5kHOuAZlYs6
71qVH/zWyfE56KFq8UYkMp97Wp2gCA4lVDSH+PPgl8X+3To5LicKy9pKY2WOXkD1O6Cq6Rso0a7f
1iYKXshsPvcJx+mERSrKWA8yG1f0uD9V02CGGh2HkWy/rtHsJH7hUf3MlruoOcATSjtzVaIV0yTl
2V6kd5cmUFnd7kl8BKLbL6uE5pJP97uskDspjMKidXEAoBv/BEfkeYEJx6ADCI4gEdDJPEI5biLQ
TCbRCw76mZ1wdccEum0lOzi4J1midfg1WlCxc5+kqPvzclahF7qAiMvXH13wDGPzuhYBZDogJAiu
e/k5RbutFw7s72NZtAZ4Ovq4pQM6n5gmF4JNZ2Cuk0NRoZXHn83hudEdS0bLbDzF0a8pr2lCz3re
2lOS1l7vOCIcQw65jpQSqjhFc30TFugb1HPPNXfMeCPoU9CjmdFp32lWpMO5rWOv9yFxMXRoF9bX
YyqLk6zjV4KhIwv3y+IRF0MHWOFFCLcuTrpZhptmHKccvajeeW2lC6ErmKjmjQQ47FE5ZlobethS
Rc9+oztWir5ZpmBhUOeiHvUroF4/DeXmJw5LXAxdyUUZzLGtc7XF6mzTqbtCnzs/KCpxYXTBtqKe
0po6r5tmOOkquQ2Eeamv6zMG5AqGQQZ8sCPp09OEzhTrOY6XD2iOJv2SioQ79ln16TSg52d66ubh
Tqo+b0zvd4m7ULqtWteyLRFIqcmia6BFj5hdsRc873PL4tjnDHT+DoYfjGic+wNQY0fNoSjsdxad
C3aHSM84T7oGa6ndjl2p++FQmC71A6RBkPqpy03bDZwLyVIQrfo9PiSqMK/6VdZ+PEhoZTwd3/Ku
6NCxJT21y46a7QNQAC+szN+p2t+ENy6WjvI9gjhVWeXRFpD5VVi3DASjEsKh76GU1Oc1S3dyEMN8
aaWI7NpyHCbJZshxar6dB5uGA1qERWX8rRUsnvMiIbXwysATF4W3BkME3Y3p8lwyU3ldkzCxGZpF
j93J61y4MLyurieeRJU4rabicFBbYzs0luPRSw2vnznVLg7PTNKi04u2GboQ6qxNKPocpNQr00xc
GB5CNkY0aW0WXXS/FnZpdkaFF76auCg8LWY6FhMGny20m9VIB3RcjP0wfoQ51k4rCza87eylrZVG
zyV0m0BG4rvfrjrWjq5LaFtLiimb46pFq8YABC70avW711wQXgmsaUgDdH/sgaw59NKUd0qQ6aPX
3F0MHl20JhH6R2RBiqoHlXuJNirMb2GocyXXZonQxkZNGTQq4/uuXeV3dD0TfmGQC8DbWbUMk53H
rOu4OkK5Goow6Pv4gqN6xpJctS+VTmQnaLud1WI1Z1ZM0BcP0PbBb9kvX30UkZMlJruS05iRpa2A
uJreg169eg7uXMl2GSCZJbYx20S0o4epNEchPWMVGj+dOZOWB2h+PmZ7C7mWZdp+heZ/Glv8hxr8
xIXgBbtuh0IRm5Vgz6C7WIUmYjGonH6L7tgp2ojRop4RWAm0uBpb8q6tYj96NXGhXxU6wPa9pjar
QxMeVo3GWEUBGN2fZ/7MM9FFf6lIDrHsCRoGF4rN95Vt6/a88ViZMzXoOe1nUS4SrJhJgT48+BEs
ToLTHLPy2KGpu9+xdPW+dFWIaeIYvURL+1MCGNgx7be//rxCz5irCwWTDdwB8IwmQ+um7Vi3Q3Ma
28Lv4nORYKmm4dQyhi7F0s7nFh1oDxAw3v1uPuKY69biubGbxWRTtatzNMoPe9Qwzy11zHWvWrr3
yPVkOqnEsVVrcwQk1Q/2j6r+U2fQiU1MIil0FrSBOTa77g5Eb37KTWBAPx29oFSZqOE6qy/Nq3bW
KnS7G/1UBYmLAbPRhpSzKZNz03T7e3TuXT82YfeSbv0z59FFgRVkWSILsHLGTAQ+yiXg0HH0Uo7w
udGdixUdbpCu3tL0TAOkzufgR6+6/+bsy5Yjx61tf8XRz4c+4IAp4rQfSGYqU7OqVKrhhVGDmhNI
ggBIEPz6u7Lte68tu+0TFd0vKikzmSSwsYc1PP/URkouvby/O5n6OIkr+GfwI3S+KpWvO9CJMAKz
n37u7d+0omI1pbCjMvJI9TACgNttrLllsRrFz+3Vt3Jf2ooFWbyWR2njvJPJtSI/mYm9BX9BiGt2
cFmTxyHD8XfBQ4w/B0hM3yK/YAbRVg2f5XG/SB/1Ps6KrIG/78/d9DfbtCOqcXuY4EHaV6fR6EfC
fk5NMH2r9EUoQEXpMMC/GPCHboxuYb319FNX/U+QL8gINSYdszJhyxBfZVqBd934Yfnwc+//psgd
dTx3cGvnx2yKN0ioZzaDTfYg/pOe4GUz/otK9y2eq43g7Co8fCwHHdmTq9Z1uLec1DC5HGZeneth
982d26v/RXH9e6n6rz70zfblIanGtZsVytbNj1sRq1YlGs7x2HXq2FRbr/J5GmBXk48wQ53gaB3M
yM+T0qwZjiisu37IFbw7w7mpQlR9TVMP2N1IAGnt4SkfYAOXI8nR823PYqHvVgvDSXbeoozPfW52
VUdtTlLZpnA2dlwjEZoYHl1O5TzVX7VpBhgQZj2H4WO695B7LgMKeg5z53n1puhD2m3vISHnVxhz
9rD4gcx3aDc7wvZ2iViWwxI+mftTrHsG6fsBPUs35OAVqAUXaPk0ftDJgEKm4534bdAD/tksc7aW
DHDfNF9wh/piXX3SXu0wKYTrUk9SO36d0LTlS76ZGE7JORWsbj6PLYzEvw/1AqMfEDn3yQw51L66
8OkC0jvpfQhbPkI0yhbetzbuSw7iZHXYMbJJDlFSbbaoBFaaLFbmAx3KZN0puYnFyuSxpcs+gBc2
T+EEl4ARDoJ6ZXcdWVpRkjb1adFw+JuPmxhEKQYI4MLnr2bwJbW+m5q6dDBerXiBDslWT7iyeTQ8
Fwnj4I2s7VWVcaSNiCVsWK7xtKamzWGEiWGVjCNYgS7DmHyZ3cBKH/aNf1/aPaRHbSba3+8mEeyl
meEGfZ+6Kk1v96oRS12qHRyV7Cj9EkMRYWd8UXdgaAg8L922GhdXk13Wy5FA1RjZ2EBgN34KLN38
t1kM7VQX04pm8JmDgSSf441DjLBQYwYnsVpEFxlItajRR2Cx7ABtQUGHL+tyCHiW03ROKBppyZn1
I4yOe9bLI+ubsZjY5geDbkqILKx/p7DaG7LY/gDLyHS/Z1O9dM/bltSjwHKYkuXYpdRuxVQ3WQKV
2CaoEnVNIz4Ll47Tjdx2FH4NJQvMub12aObnUlCeIINyLk3TQtI07Z7iXhh2hMBKv92MiY/R1SYO
2mo7xsxurcHdIsEyByQng8gaUcu3REXgzJiVZ/o9p0MsyqaytPuG2kcobJohm9bSdnSy9/1CavYM
eNY8HLvAQROSE5no9U6jpL+NG9/vP9pRTQsYMyaasvsZm7Y5jLoJyVkPcTd/bKJBwNZyz/qa0ZwP
mdT3xLk+/pZ1VSUCTGrlUF95v670mpg2mz51ngUK205LwEavYYEuIe1MmfpeOV/3sAOde/GNpmzW
H8Eu35sC0yWcXeB5TPCuRP9d4MVTlH2fOrPu5yHRITz3O4njQjfYSd+7DMv8VPfJfu8kqY8kmUX3
IMzC2YGIVjfv5r7Z9kcPgkcSYRIN3QBRXpSI2dl6N46/9ZjcNDcdg1vn1TR1qrqaExmbm2WWPCm6
LM2Sz4IlmfwR+766B4U8usYYaf8OasuQd57WZQ2BoKjc2l34a3hIrPsJ4kHpJyXbTJZagen4xEOj
xvu4rtr47Kd2CYdobrrtJIMh7IqzrScfCav66l0zy1oXOrgImogdkRYkmoHByG/dLTV3luyOwGWW
afUBxh3V9LBQyZsjafqJl27rVsROT4VpjsBPx+Zuliv7rqAJMBYVWob+odmIQShpps0fGJ1ggVsS
TKvWm76DwPGxqhcNek3E1/q5EVZm50FrzXJXRYZ9axrZ6aIebe+6XIxxRWB0BCv0s1WDdaXzCYlK
Z8ckzke1e/05dRJXUFJSx5Az3HAVbVRbk8OM046H8SLJA7N0hO/72YOYdqDawJaaBA8neJR30OWE
FQS7Q7pUv1bYwhy2oE0yFGzwdPoYZvgzQuBoGCB5lqf9vrdn78CSfQ7wpzNV3syOb4j3u/bTlHcO
x7TP0fFe7Xe/rCl9gQWHwYHQQ61GvlN4l8uD1G6BE7JkmHQeRg+H0BzcT5jJKtjX94d1rVMV8jp2
Yr/xm63RtdhgYyVPpArIEcFka5qzhcsafEdN20bvGe1NUjYZ/LtLS9ZYljzse/diyJ52p9XtXl4t
wxRV5eyTKtymMMt5JLHt2vfoHCWhz1ulnDxCNb5217JHBXMPu/hJHLO+xXnnqorOwHnD2P52qEnX
F9NuYldk2nB4pjJjq9aDPbfb+J0jMBbPlzFzML7fCE9OE0bG3f0Epbt2zteQwUAHuuL57I2Mz3Eq
rXugdo7Gr0m7CXXLVGqxxsZmUM2PVIkdK2GAZJs9TLVo1yO+2dYd6NBn9gPr16a6tnXbpWeQaJm6
W0wCg68DwpFiJXyZ0up1h1QyNM1t09GTndq6BrYZDCysEQEdpeumc0GfdDekwAwnwBCTg9VwPcxX
F8bkPT5TvKxwot6+KIjGg5Muk2bKihnyi3URIT5VxVbp7X2XMJeehNTgutBxBFh1WA18goNeHCzl
zOQ3EEhWHhcYKIjmEZdL6cPmQ92eojHJMDlqqz5anodhn8ZrQHebHVnRuG/fcWpYGAnblpD46TKp
SUmRNjPf73Yis8EiEu+hOosOjx5CswzuZrceAXl+gPuFNWfiGulOm2OSXk7urYEmQI3baG3uJHY5
gV5dvS91Mbc+hKdUbkrmcE0T7MizAfEt71PfmQfiYjF/3Y3VWZcrt270HLKUbPcZVn/zqbMbLGjw
JdOpeujRDvPvRI+beL0nndnKMV2oO+H8j3SNmwvX8oPfOfc1kic37XiYpl6Pq++j4QOPgxseV9yz
FUbvgIU+dGvbtEXWNZP9tGme0M9DwoMYciiEEfhLxypV9Y8RmqnkEar1mfw6QXml/zKruU9QX0EQ
ES72XdLx08CdDcjfGiIYLI2jJeAoVBuOD2R7kIxlEV15aSHSMAVg9Hj0DaryISsIDvXuvC9z/8wX
rO9DT7xiRbvt6LkOfMw+0gS4iCINouoK1KIZhyPixJerRHHK1jzdyDDf62ZuQDmOId951LJT0106
aB+pnIGB9bWbZrcdadxm60M8EgP9XcxZ5XMmRt8cVwWnnMc5adJPwsLlpbRZhVaAaCPH7sOoK34k
pvPJA+ZP6fhO9dzuN3E3zrBPHzPsDcDiAVQTVz1EVM1dNSipt0JkWf0YgHyJio21w/rO7n4GIRq8
18QXkDGs+oLLuNUPvUWPKW+GWs2HNIBXq46gqMUHUaXjWBpSJXgSLayy77JFX5xc4fON5EcAWtnU
hRQrTcphmUm85P2+hY+dgCU5zfcBrMVnDXJb+lJbNt2acUHGVTR1FxVxB1W4UCC6rzn3LHUfkwWy
B6eaeY3znm/w685TEHi1y0OaRe7c4hLI0zKNjsOmm81lH5plvOrhzRw+U2L8ekx4r2I4kxhInsVZ
m4oyVYAH5zaNd5ilV5F3uaFVZ+8XQKfkWAxs4Oq2t1V4EOFigLqbPb2xQvTkIOBgs+EYRcpRmj1D
2Pdqjepzz0bqnhdVxeu70cBVHDOSOfkSVOXXovJNdkK6BtfMHiyaCZ323Gxdc2qchrBGBl41Dtu0
2HcndT7BDImVzpDkVCMf+OgHnt7UkFIacia72RZNnMDafdp1kk9T1rFr4evwIwP7p7tLsHWGq72z
u7ybo8Q8Eg+JV5RAqbutmUh25E5xZh7XSAO26zZeMNDI7zDPAVkb5qUp1MhBQ74LRiQfJh/Vhz7p
WJ8Pw+Zu1l7Jh9pDQb/ssYwLui2+SJqqPWVZJm8XVofrOt7Ul1Cv3XuZKlO0hD0paoYPtJOjzGui
LWAni+r7Od9IK73Na2S74RhgVRdO8LKvX1i86WvXBSFLLGdWDPuyb8fRdPQ6AL6YffCR4O9r5YFa
KBM38uhUDXz1Kq+wcgVo8qEhP1pXBfeBUsZCvrbDJgDljFcfyvaiB3BWYdshmyJMHDScdefZwg19
a9OpK2u2xtH1GmdgY4NW6sm1aeJK3ttos+64gudPXnamElbIkK3uZsk0rb8gcx3mA3VJlJx0q9vs
tttWBbPXelxV7mNtxEu6KE0e5nRJ9QEyDWGEJIFlzXmKVqk+Rw28hLuChpa2JbFd4/KFtkhFpVt4
WxiFHMXnVRqlqcoDDUv7fRMwf79dt2ndv8GUyiMdapygWN0Ke4vqvANhqDtARadKroxQbfe0xaj9
D9OYpcPRccSdEhVNzc/zBX53mPmQpA8g1XT0BvjZNC5juVF5jkGb2n5rAcYeHhbrhCZFkPXaXNvZ
poTlEBQRGI/uXaLCE0pjnqAKBmRzv7FWWcSFZuQ+vtMDtuT7HsWq/9zTXp4z+G2jQB48/xzbtI++
DBiwokzeJgrHRTShmwKrA8lSXi0rors1y1auQ23ERwZOv3sRHrH9k7WzTLqS8jnCeVWNNFrfM793
W51HScLT3LnKDIWsUpXc211s4bcMdH/1w7Rgsx1EB9vCd0E1m4TgAJ3MIzyeab8dxhXqrleyjZLp
kWGXISKS1MwC4anZOJqFzQha86lLSeNPad/0ZCiz3SAFyBVjrIYM/IT6AxlfNxdh1ZdcBDYuzj91
zpjaX8m+7s2LstG0HqcucvJsrVwontguvSnnRG3rl15ScJFY00v7xfl+Xo+6JkNUyH6Jb9q5rlgx
YxDubkPXZTUeCW9BBrToshdGrzOS0plBTuZl2aGSC4L0XN1OdTJf+WoT7+Y0CQ7ZAd13/RCUUrmB
N2gOUli9pPAXE910DF7QUNSwU13Oe2pRoDVy4bl1fop07hbn7ROPPW9+W2FtIg57T0hTMn85V/Pa
wmPiVCHNvm0hzYVVl8ZDel118Ge90XWYPkqBm1CmzmWxykkLyMOLVXsXIUsNJLradqzrK+QBMb92
OAK6r96n7RVKgFh+niBxzpuCypq07/RKmwaS0PHA2iXHIqNpIRBVA6q5CMS5nTdxey86T/bCYMN/
6GM6HFTVshFbrVquJ4IOxh36FSl9FOPG+mu/GvkNnZhPSD1cwmCpwgABn+ARk7wbk7r6Aj2Lri3r
AUGx7Ux/5xxBZrZDYMSfFRdNofcAwxHQOsip5SZVd7NLrboz1WJvFq2n7isMot1rNPfWltsS4TFm
G3/pl+wy3OkFzvYt8y8MuYQr631Grg5ck9ty5flwBFlZsrzTvkZugFHlCrM7saFfi0ho0d9x3b0H
ywQOjOLS6QHx27z0SMbyhAKBfkYrXdrbdBZz9JhygPgACuJjvZ5XVtdO4aEsgVgwuquuPWwkFR0/
dIK1T/UMb/hDDPbK/Nu2Jv1aRA06V1+g1QA3XEOFzQ5jk4QES7NN3psW9chVGDubJx0CqM7XxcDF
rk6W5rugg01eUr80axEGG6Pa4Zlat7xbhYo+t21cfROX1OQkNrDMPwSmX12vXIZ0V84xktkh65eT
hCeIKCQzw+tEsWVzAcuOArYgJDsomYnfm399uuMmBHGAvmWVoZSBqfpxS7jnn3QdSfCPW1mhMxjJ
AcpIVkOioERSMvhryqbpu1JbGiPOZU03vkCpTXZFYhqfnjqXhR8onev9xqikeh0atUsK/++wJrdD
47P5Q1QRRl9jWGbQHygtG3RGupreysn0iB2kCUVSx7N/NLLiGrwOzJaymtXksY0YQzcbqQe5oR6C
oke5GpaUm9tJeljZatdcDcv2HprIcfZRG7k+RVFmP4qKxx+A/XD71VSBBHSKJhTGmxq29cAyAUHf
vVv1R9zz/maMe8DaWAcDbmicZNN5aqScC6rHwec6qvpPYOpu+UxB3tI68+zGbDp65Mxvd0zujThO
FaQXDoqG7WqGrcRVrBU5Z/BkRswbU/vSyJqGB11PYA+vK/R+cjovlXvvF0i8foGACIozG3zWfEJr
OOU5WwPuQ+K7DmFBpnE6IePg4B8L4j40G0OSmKKVUNfIMjoaQR6W71FpAIOnBypq9E087NXhU8LN
3l4lmugXyK93/btETCCBb3BgeNfiQvK0XWO9FAjbwfncoDeWPui+4VmRalzOh2mq/HTs5qpriiTj
2n+7YF3P06iG4WbjfFf4jD6y7/o48+ohrblHwhba9CiEjqYTIJTcP6EVPR4QJsbxaCjtbJk0q4oB
l4Mx7GHyBEEE+hjXeBZoR1SaThrltgdoeQ3BvbNR063FSJdYXUfROuxXkB/bf0QUtkm5gjXkTb1P
G7ZPJXA7ek8OvcyWYp6dv06nGAln0443QTf0HdDLMxgC0HdEnwNCDWnGq0/RDjj5UYAhEz6gz7St
OIgsiX84YeqEwwOn39EesGrR43nEhKL90uyzHQo8KRDeRd8gM0fEVOtQNHOloV8O8SJ5B4k0wQvp
mV7O25TN4orDAxzWqNXKRJtHFLKHRy/TyyaMurWu4a44o2JC8OnLbrfSnx1IGTJPps0pbGPMu14X
nJ3VWRtH6nKFojYBEnNIsvhlypChlauXpil4tjJwfRwL/UvLIFNTEujNt58UGhpZPoxL03wg247o
UUcRi68ZjwdaDDJRSTmhG7YW07iitZWDBLXVZQdyIXnI9GzEEwxB2jUPUIHWhyVUdMpDsmfIYKSO
3ffIwFUhp6B6yCd42az8qgna8+8MX8p/tEhQ2S21seJFpnifPKraE4gmaxQFTWuH4V0Agb8/Jp0l
Q8gpyPYrGpjNuNco1B1aDljUG5JCeLRXM4y1pa3umom0+znOyDbeSY0+bc506qGXrhvzSmjaNvfJ
Xo3AJVWkH0+LWKPkEbxJzrCnTLp7zH/GoI/wb/TmCKSbHgpMVejybfSDjWCQuDtxjhTaKZ+IGi5P
iKHwKWMjdQcyKgqw4X5B/7AvwK9wdsmhxRInN4QlFMUlddF4aoGzWL/5JEhbVoxV7sojXvvSUK37
g0pTMZcJHGlcn89mCM0R1aCSN1UG+TWAL9XFHgxuaVPZNa3critHuCjAE6klLaHEQLCh2mrAPBuj
0Km+ZuuW7shZnM5OaBJMmNbPyO1y9GHjPgdhdO/KGctAHbNtiedX3tJeRagd4syl8LuFiMlvuh8U
+Fw9JmQOh+mAPDErImXkFUt0ErZzH4tUvEAzenC3HqX9pvHF26zLkINs6fRAeau2jxG+jYzyJnbp
tBwvatYoSFexr9n9cqmgb6po6jckX8DLQmAqVHX9EIbYolgxS8qwwbMePSteYNZCUa0SO8jxextQ
XQPbF/hAXo1boxnJAKcomCYHbuMKt5rJXFs5LeKBInjUSBVFt//oG0wjvnSdn/pjVmdj5HF3dTrC
i5mZ9ilDuo+9nEie0aNGajS/NjqjXuQullBr9jxbxHOM/lwL+xf0/903abKlf9HRMkWPU42Bz9N6
KVShWBCESgq+ztA1Bm1OG3VuBsy9sEgynR4NR+HDDvBRXOYbMABr6osdM6QJlW5reMtLQpkTN15j
knSL7FqwW6RFmX0/qq4317xO/XSOFhizf0kJqUjBLjnbcZmGaMkVT3x0OxGoUz1Fi11axDjI0BcS
mfF4CMsgzH1rHYguAyV8fd4VII2FIBZDnjZVIyRmTB2574JZXT2n3iL4j/A36Nb9Otph342UFbqG
6ux1nQbkU7C4LmK+ueUUplGmJ4Muu79SPdvJC7qKlF63PSaBhSYDAAAH8ImJESXW5o7e1qWjFh1n
kyRLkbKhi3LsuTumbcgwa6SQxziSGNDq+dhGMeY9bMSIJ+QKFmsiD/OmaWkaTrOT2xa5n3S2RWSE
pFviF4meXg2vtGmRcXdLY2PtC7VQVX/ldbYMt0hsW35UtFnke+8xmilVLboa7EQA0h7bcVTspqrV
2L/3AjfmJiSit9dkgaXO3YprTeBoHnb62C18qK+3zsj+Awq9tloLsiBbnstuEgPa1hk02lpSLNjM
Oiqg/cGCLjEH5EIee8ABLxLG/DMUDImNCykhgDkcBoyC7HJGAmZwYx3vtHnEOT2i8QwwDkZpyN1k
eJ/itoNcJWnT7x8wPam244qdfJT7zm9RRLPoJokqicSOEajXJZcxnkiuSMeYvuo7PtPbXU1gXsdJ
mNxn3y4SohX9AumQo6v1Fpo89oxyzDgTgK7IbMVaMDQ27JdhzUTyOEF2wSbHi9RrjJ7GRmHuLswu
166Qg/d9GQZzcZRzlt1TU2XjOQOT15/mUS9pWa9Bj7eJhU4NWqQE89YpGL4cWzTx4zyycRwdMaN0
balELVF26tlqZEjp0KZfNw4X+Ztqr7vtHSQZMofee1OZ/Uc60rT+pvuJqDNJQXU8E3R95zuoBhj3
rCBJjdxmpNl2G2eRDb+FmXb6NoQ6smjwbYkodol0JEd/ecFspbUWYL/ZZXcLGawvXIBx6NngErpy
2ZOkL4CNZ5iZZ9kFXruKowSy+V6tcAb+QHxf2zvj9ni85rC92y9Pm1fgOkgX4AxvedZ9Q5svSsuO
ikhbiLWininsiNU+HJBZ9zggEUgvZb432j/IyKxpEaIoNtgsYjagS2h6uYNSo12FTMJQ+WD5qiLI
DbS8/bFczscffIF8ArjktD7PkwxxThDv1PvUmMRh79V0mF2uhQWrGi0mGEXxhrSkTBMaAV6T1nN1
nzTc+SPCKLQQVzW266vrNr3dTjsf6EezLSxD8TJ3y3UIfN8+Cj7o9eGi4Zie7LBU+QCxmzlHNlpf
muV6W3HmYoD5KEKQ/No2YBrcY1AygPCO3HhHa2vu0bWiMK7MqPsK4uoschCLEn/YmO7RtTNz8w4w
iRgZ0QpT5ncdkI04F+GxAe1GuYpKvnBNJJDmI8E8a70aKzNPLm/B98vySQBHkBaYfZvlFY2kGs1b
NGyI+4puxd5GOXNIX7ucIso69BDVBLZHDpF61J3HDfRQmAONW8aaz2BYh8Xki4eJzXw1rI62XeFn
6IcjDyVso3Fp0gZQjvK/rHGQ542ouMKkKnUFASLI5pFwc1VAKDn9kOLV0c3qm1qfZXPp/dYovzd9
iZlZ9TAl1hzQLdgXgKyjKjr/V7VsZAs2UycIdW9bSVg3LfkeGvqAgdW4lKwC+fvnEExvzedYyMZh
Gq06EPmpy57Z+nPg+reCQlSlK8Y1eN+0fSfQtGjpT1Jo4jeozglqjbJqOT/imCRoIsmV3FlEa3v6
9+ilPxCswsjgH4F6aIUlDog0TCYi7L+5mVp3M/hoggaiNRoNp2TtYAvA5Zw8bhatWxRYXUSKKdrw
nP79RVxQRf8KbfQGWFZjRLO1keHHCW6mqmxBarkDeHAukK9h/IhZnPgPSgN/BKZ6gwU1s8VSS1N2
hCDAzN+7MFVLqWvkuaXHyQR1Usg/KGSlWxj/wx3+A5DlW3WiDvgwnCYJPTIBTw4H2ZnDjF7zf/hC
f/Tub9BnGo5+ljeSAjkyfOtN/OKFrv4DXPyP3vsNPBRp+jzouqLHANuPvDHh3C4q/ck3f4Mwc3Hs
xmlh9Ige9AGD1DavYnQe//2C+qMrfwMPrba1dVS27FiTyOJMX6s8bnD6/9y7Xz7177CtSa9ToINw
X5J9gDavk3CZ3Kf3//7N/2CFvpUmYiYevN46LJeGy+SHRU/JF4SFBL5CIhl0rhegsU8gOVH9U/Z8
6VuZokbUnkOzhR5hh0o/ZrOx912M9uq//0K/B9d/sbvJm93Nu5CiLVRnx0HIBh1oOQaP4Qr+ew2x
Yy8ZMm/8y5jFI7tqdffc7e1zjJVGT5Vtlwa1St0c4M74Y1tTWDfnjiMl++vV/fc/cEXsX/4HP3+f
NIr9unFvfvzL8zTg//+5vOb//c0/vuIvV6/T/dfh1b79o394Dd73b59bfnVf/+GHA/JyF56WVxPe
vdpFud/fv36dLn/5v/3ln15/f5fnoF9//eXrj6EdSxQ9pv3ufvnbr84/fv0F6EKMSS7cl//++w/5
219cvsWvv5Rfh6/jn76OP/5Utsu/fvHrV+t+/YUnf5aAbJMYFSQjFLP5X/7kX3//DfmzgKSgAOoq
4xnMMrEbRjigNr/+kpA/4zcc8D5MKWNIOuNa7LT87Vfg+EL3iaIcjCG7mP3yfy/y8a9r5q8PB3fm
bz//aVyGx6kdnf31l9/Vef7/0sI1CWi6JyzG/5BcpG+XmDbR7KHRlh3irv0N6K97buDOzORzV0Fm
nnTxQQW+5WtUPbd18qR39pmb+mqRX4A+Uej01zdVs6N/z650S49xFB26270z187TYuMKGizrXePJ
y5ykV72rj3qnV91uTkQXU1MdMqVvYPzFFlBrPF47j7eqM6dsVpgyp0/M0HvK0is/Z09ZFd+jPMQ4
+NtWN8egJXCJ83ukz+/3DSBXlgJmORX9QIDh+Lar96GeDx16h3S74D38HdfivNTDLdLK+zHbXnSa
FdqNj4yiPg3hSiEmdcaVgPDCtlIB71llz5bVcAvtHgZUMZiDySFHoXvaMenOu1o9uZqfUvSgipau
X5yRz0QYJEi4ZZhmX6UVO89RfxADOmUuLWc9QMdYHf5u5f2Lhxhf4sA/PUROuEyxmLBq3oRVFFuw
MiYRGv/zXNYjywc+3NZ+fqAhPHCDQN406FXt/BAtFN4T9D+F838MuVhFkjDCGWEQ/8zIP/F2gT0U
k0RD6gCbpV3r9lYsBpmyioGLovQAjPFDhpb81VLtj928v6xjm6I2pxGEqNI25/krUmJzBPyAFRDe
a488rgbAlvdbTHBOAKZADl3UESYgGM7vlhQZBXb2avQB5b5BCSq8Onj4muSbYsAJVAiAMr2ZN9Pl
Da/IYbHJ9+CrkPttf1oIcMe2jTGv+D/cndeS5EjaXF+FL4AxBEQAuAWQojJLZOnqvgmrFgWtgYB4
+v/kKu6O2fLnXtCM5NXO2kx3dWcCIdyP+yfe7c46K2+58/PpXHdpd2q6Nvlr/cp/tETeZT/hZpuv
8c8L4L+smf/2v/q/cZmU1hWp//dr5Pmzr1mci89/WR//+qv+tjj6f7iuxRIYyMBinKLPk/23xdH5
gwWRNc4Wpuly8v+fi6Pw/3BcMuomSoPwPI8V8O+LoxB/wP+KIODfOPwDDRf/yeL4p9dKsjh6cDS0
cPA7MdDkX08rcnCNljPKuEM/QlVdHzDlvoRf7zVyvaHGR90UX50z/ndhLv8vjS3//EKz7LNnuMLn
jXKvO8C//uQkde1NbuW0kyroKbL3zBAl0AGDdrVIbiyTSQZcZh1JUD8ztqdlaJfyptTpdp+Jof3i
hV0XQH7Y+rAmHf3R+Gtzzi3HggvLECTiJHGDHG119S9O2QHNTKZO97arrIjMRwNUrr2TkYwcBEGj
NgIAikKqNSFaKfsHxk7JmF3qZ24mdTwVZLiwrKLRSGEFuvpprag1HhNzJw3LPEOMmaHDu/jEWFNw
sYXTCECwIXADRHHvMU7eC6cln+9xXF+SwOfnqXUZGCMqq8fVbXZFm9/mDFq4K1o+iiXYxBapxYT8
zwq0U0jYrIiqptM/bWk4r6M3QP0Pk0geMi/ob90as0Nkq2LzyHDiULMBqGBFwKvy5C2bRfAkAfh2
akvbmPv+QczW9Ag74MQKffkD78VOoqJ3DDDNAmvO1ob/MCOJfKnForS/bjhqRUk+Br/Gdh6sHSCu
ESZ9YL4u5jbwj8DRMlatnT4NIAklh7a1QHOxkhyPr1hnHC4/PTPxdT7PTMa8tXASI9tw5f2SVc4D
jkeW7qxidS9sKIBMzmDeZsMyRVO71JclmZPp2tU2sgB33ojBU0Egta2qD40zLbc690fKkhXleX0e
7HMGVZzrRbevXe17OGftYCQxIEDzZkEYAxoZPr50gURFhYYOmkuCqcRiijaPxbFOo4p13VWRM7TB
GGr496M0zey6qZvbG1wLoWfM9WQcuYoK/PuW8XAP/HdzF1pzLX67hse2m0y63ml3DC6pnNFBTfAy
N5qufeGugHhDknQkVluT60OiTQIwg8lBwqFuqo0bCjbf3FV7227LaQyNpa5VqJbR96/sLtMOGq9d
b1Q1eFfwym3vpikdv3e1xYNUdOZHYjbpbzV67U8+mexpKOrggVYPkNRuLdd6lzlT+oHwQaldNmUJ
LlXNgBxpCn2R1sRP2axUHKmQCsZoLT3nO032w0luuVwixZxdFWY6T+s4tcW642Zs7fOhXJ+tZrOf
auHTpj8La9zivLp6G8iny8+u8iSNs8ncPmolgu+D36Tvfcant3P8vrkLyrLARg0S+aYpRAy9aRIL
Ql22fFbNOLxCRpRWaNW9/OwyTlNh6xlFLEQv3UhysjKjTnTit8H29wyQV71pN1ePcrG9D9whS4ep
XQLlW7NtviRAQ3hbQhc4f7VbPTMYyNkN6yTnMOmStgoVtNwQD/ZU2fss9SGaZV8aIpYL5VZJCtG0
S03LP4gUAALqceNAMPrmEZ1Q60NapP0T0GIHY5iY5XkrCvrJmlWxilDVnMxhVc7Gw0qgtSLB6Rdv
xPS4Mppmk1/dD6/5aZr4CrF07eq4dVcdVRi5B++mmdw7IdDokOgaDkub+/nFgLy+WKPn4n4HrldE
Wy3mx6zx7Te+UjdsKKCBefFbuVO0Cz+DBKWxg/u/c223eixFlu+2dpAybOXSfQBLNRDsLEPfZtOR
31nM+UZ9mNo0HGDN3MjxKyOIOk2kC5G8RYk1/ArqmJd8tCN4xPXGaMfTlMi1htrOA6BQXbMsaMD0
Ji6MTd/DTsxvJfDrFm1OCVGidGC1R9MKrG/ZOGg3SibXbXemMEjqwUvkd4QupwtKY/vqr4uLqqy0
5+/UXDsfc7W1v7pk68u4SieW9MwMGIAzAtBuUVummxsmfr8mN0IZlhcyiLq4r+rKTC8NJdfpjuuN
fWrAZdLDUJJROK2YTQnglODt6psqA07vcuNzVv2iojVRhP1ryhj3Qz2Qq5wRvveOTewvhtMhLwVe
azgRD06v4w5bENe3MSo4/NlkFrhqEIFJwgz8J8J103Dp/ekWTJvxdYQITgE8R9RavrrjSeq/00sv
7oyi996mvK9OlNsV5y3HDWGfk+VRpis7aFFP6zsZQxY9EPj53hmBjnZVwUqN7Q//CrXadaHtOt6v
ppbyeblK8ZljUvE1t2bR8sp5/dc66fSRgdFtGmV1TvOIGcz3fjWLPX9RjbDeVO91k/SnpPCbLMo9
tp2EJr4ilPV2riyqlAwPJgpq3d7Z/Mk/yQPcT3OqGPhgumu4CWn9QEIq75lCMMw7DChcXc7GwJEU
iHrmUSWrOePa+OrTTFavCydJ7dFtI1fO3b7U6bsJmM0XfSUhI39ZfKBXwd9tUen6QWpUvrD8thhM
ljwkSMnfmAosbqWVLKRHiPx8g7IJsD2HzZNcZ+SWRDr38LQsLOQgHFYSRZHEXvk+T+54cTxD36tF
WRfTG9zf9go066tse3V5kX4G0lBONJoy2y9NebAAQdrIb0ZFHq4c+19bpsnvuN3gubhhkB7XL816
zJxuem4aMd3QS1yUt53W3jcXnOFrKxTNHSLtNG5VWUDCTnlKbiQcyZg5N9vi6I5smfI/VtHKT3aX
7FEKkS4sWwSzltCawLzjZmyN0aRzt/AeyKE0XeTozVmg2cAYI8PunRgM040Xuxx4CciULIORfxJ2
UveNbt511adx3aslTnMBQlsNmPkcDLotmkbD0+c1deSz3OxrkdLqwtVzk8z3bUpcIK74JESl1n43
4QWRB7H8n5012uc6lb4bLp5I+kg1wXDswDZuJ0dgGKrutVhs54dfWEF59Ewes11gDcBswuKQEDqT
N375TJnqwm7yiO05ZLee8B8TtZ8YKHdl/xM1xOky5byd9kQ+BMaw56HRJEPJf+UFaPu0GM150g5M
NgVjIqxEXXMQKh02fZNtry9NWEt/YzRVyAYvvvpCqYZ1ukw+MmZIbZExOcsDybTBik3Sm7s0W5OK
O7Qn7NtiqdZT1mXGD5X1mLqZ6zCwoOh9M2qJTXy/Npxg+E6Z8T0xZCMjhmDnn2QZWAUCqyKNxIQa
8czQPcc5JhqwkI1qm19nYCA2Y4D74WZV6Cghj8CsoiLP1+SOgIn9ZJKw8vflDNMRZsQb+2iy6+5m
lJb3q1KohYujIj8oyrjv2iCyRyH3rnbS9xmTMHQN1I2wp2AxLKqhAR0lckHKFI2UKXpbDjhg/FxF
0n4z3ageCaZg11yDGrAsyehXeycz1pBgETnYreWHtYn1QCggYXlw07iytQkotFKLu9RHaI8lD9fc
dx7zFmllZkDRHiOo3HmBcthytbqA5MDkeJO/7Zkw+ZNkpnjnSbS/sDDzXQ+4wBvWeMHFm/r+Nk8X
HP81L72nTaxZswMqTJ8N5k/dWdPM58dL8QaByXIFpMIwBn/I13fl+MMLDlZqxtnmLmsM/T4wrpkM
0Bck2/TTSTWyQ+MPaRU1tjKHqOJ282X7g+6jzUjTF6ddCUQ0g+XczQMEQWbBeEWMaV6ITGRzncZi
WuevzPCWuN266nneWFTCtqZMK4Yp8ZC5aS3jUDmOi3WcCM+BExTLenJ4EDn0luSD55Wd1izStAFJ
Wu2UbazuyntMhKmKC/A/88bty36XCJk9t0VnPDUrOeXNg5bcKm/zmbHWe7vZ8ueoCXKbwU3dNKMn
1dI4FaWCbV9WZGUeYiSyRmma0my1chJkoyzRXnpdEvIX8DsEkWQKW0HL6xAbzspH6znNq2Dgy76F
WZO7qWjNMwGLVO9I/gVDlLhD+Q6DHAwnkI70d+ElfRqSVOdUVFOdXsEhweYQarCaN3Oyy5d5MP1f
VpU0R/JNS3szwS981NyMAZGZLviZO01i7rnGug/zWuD+2kZNBMpKTHEGaOd4GKAg93zKyISgZMph
cXAE5KPTNN1j789geGPFYxj22cYBe4JAjAanNy+Wl3XiXPqwOHtyRuaLV/d2SNznd72VixeCVadE
aYWnZKgrI0+OrkwAz3p4uGbUHCHTEXr6lAE4nqjm44EDAyxuxtztL4OdoD5CU5ICd0AsQ720+SGz
HPNm9hO3jYwm/yW9wexD28tAioLefZR5Tap7I/TVNUReibYuafGabrIipC3kDnbvUGOXHrLGGGOL
BrtwtuTDwAvwkBnK361ybCOvdEzuDRw/+oYwcrh6YwH3tnGx2LI8TqeSgLqezT0+dHaoO1E/zg6Z
rmrtm3gUnBrtCrNf8WNWp7xtapHtDFD10FuJMa9LLh/swB321HIdJzY2orLzLhmK+VLL3nwzYfuo
ATNzQJ1+eK+VnqIxs+STlr6/gz9b9269PHipscyx5U7yCAYY3CiPYUWcT6xEs0IFZhyoLjsLUVBY
1mf+tjN7crQpKt1p0/3sRI0KVLSxeP/2B+/AdMThq13T4pJogqWjrq+sufZPXmrZH4zZTH75bKCR
xwc09SVO+uhMZkfaXKXujt+xMC6btD0vWvD3OfGmQ/tSgSweLSLVAAiQBy92lRrnUtVTqHHCj55M
9WuL0f5dTeZGtMZcjS89efXw3S64BnEAyOBRauWb26HPi9lnJbWWeMyAy/HT2vKXIcb+dhUpJ0ud
Bmxg+SJMTgPtWsx7kGqC0qSt6Od2/HxPxG+iAXnW3HHM1g6iKRON4prJSSEurntm6yNhh3bLrGEE
RVoXYs5Iw4mBGiw7I3+0b7QnbRpsPVNmvCwGD4U2rc09uhXXBCINNoUPVjM4BemiyZ5Cuxby+0gW
5HfrZpaCCQoKSuYHP7gJdLAER0JmQxLZdcohmpGj8rdPRjbOUHLOwzzM92u+bF5EvoCD6UQVz0+y
6WMTOgDpzIV3muM42faTM5q6IrlvsiQyN2OOE/iYFUBkIMmfVTToH7JMcTnPy1pboMaWeTv1bXsk
68jpafRxKPfY0uPPcd388fAX0e8/Uj//Nwyifyt9/otA+v+ejYRR/u8l0vh3mWb/Io/+1XviF/1N
IfX+4JCCFC59ELHr//5DIZV/kOPFCPLEP7TTv9tH/h8olzZJa8GzfcVO/6GQWoinKCQBgr0tBL+j
9R8ppFc7+J+FStO3PCtwHCFtetAD/09UQFa7HKUD0jVZTyCC7HM3vkw6mT9SPeoH+iZe2DGMp9oe
IavITbZnctIEY6k5KWJ3zrljFL3+BM7JbpBRph34ncu6hO4AmTruM3oHHhdpLk/89lyr87m9JGQF
foOy/ZingdqMLTB2XY4iKxunubTBrF46i5gdSOHwbjdO9dn4zFc1yCZw7CqKC+eQp6Ip9Zk5YyT2
be7Xdi7NnZnzPidkfeKA3C6XjuADStuJxMxFtS66BTXTmA9mzTq+WFYWD0PLW7l2z2Zlp9e+l4bF
Ywye2gXJZZrG7tmpmMQ6JCBdCaIgdvroHglDdwdiM/M7jAbJbUuVX4Qw6lttJ+kPX6KvAaaPP6aa
M1c+WRXDnxWqKWJvEDua/Q69aDEEMSclvhc5SQrpMM3D7PzgdhYL82mZPNtw7e/IdjNIPkO4DThe
hzSwmN8a4QWhqdqZHgJaVpuw1+6dOzK/na2u8N98oxzOaScqcBV/azWyFKLd/xnP+P+7JcF2CJr8
r9aD1xHI7H9c+s9fv4f0n9eFv/3Kvy4KvvMHRp9lkuOWMggwPP6xKHjYJjbWQeD81U/BOfjbomCb
fzgsH7iDto297V4bEv/uKdt/EIU2+ZVB4PxlwfhPFoU/m4G87y7uiymlyeIg7D+ZF2M9kkqaXH1g
OgiM7dSvD+i3ktbXIOt/GMFWnFF3uva/MSEFT/WfViOQbIcrPB0w2CdckP/0k1kOCrL7KIvA92qf
9bbbflYWmhg6rHBIp7aiQK/p5+mjhOTfdovTtEXkezReRoqbozyYZUtd3EBy7ZvqVEbyWtSchsWa
jAxQtrvIhI9Gh6nUMB1nS9R91E0o1QCzIxetFqPlh43GbY+0Oh0s2/a+VU61fK6NFbxVZl6lO9PS
+nEdrnGfYpTZGSiebBLwUZtHWljT9QCfkZR3NYVD1dnJmozwALHETUbDVv/IO4MkgK3jrRFNPKjm
p6amj0lfc/4YMAv7Pdhkh/Vs5Ld91Yprv7FD8sFIpHo1NFrQbkuM5mb1rSWq1frbo2vowBK2Vzq3
bkZryeN5Ti9+Onl7vVR4PxRPRYao3zIy9BGMTc/f1nrWvuGFWWDh9tA45HK2iMqqoUQ1sJ2Hup1j
nwxMZNnkVpJ54hf2nXsdIVPSLmHWZDb6nBSS9dkaZR0mgXM2XbTklEwmdxeIzXIP+UrnE+fusLNJ
IaDpR4OLZjOkDedFNcwPM3z9rTm1482meu6G5TDtx4bLXgOlT8IfKnziphqNc+btCt+242EhizEi
SeGiDYLbuO3eOHjbIfXy4FT9NJ24vmYHe06tiEwtMo5bW8dC5dNetUl1SiuM7MBlsEC/rRjJc2/Q
O8xFKxxEUt7UCJq/WqETrqh0uniGNO65eNY3oumyp3UrhyImBO/ECZA+azBi3BjmuWnjePgUEMQO
diEN/T7HYyxtZ/hcPVnQPrHZfO9Zunnfksnx77w1Ez84zVW/Rm/NvcgHT7ZD6rqnp6Qpbk3UG0TW
3szucytA3Vi7M0SCcarstj2ldMcigkqHzzrvWwTSje7LXe/O2RYNQWrIq8gu6YBIZHNhtjiegsnA
66s8W9SxVVnuPdAf8t8i7PK2HCpxWEjAVYfCSP3nyjV6QleVY8Ydcqe1czmpmwRSpX9nAsTO4dCt
+tEyyKo6JJ6TU5K0G9ivCRFP3hqRTVnFdt95NppnB2L1RCjXxP5HFIlkB8NBm55FIIXhTZzm/eTo
MMfgpen7USF9+tnKh0n6NrRXZ0bBpPXnwa4a/RYkHQKSH3jksuViUTVgOP2889056U7rPIrf2P/d
AdRcvBV22pGnq4TzVctZ0fVIeJgL59ABgsHZusbTNdy8l0G3neG3kR4s1+rtqO5MSt6wFtOXycq4
72Sdce5bU+xpBGrtyE0y72na3Hrmz1cN+3IzHrh5/5JJ8WOo0luh80MLzrGfVqTnSlvlkeuN/SAd
sredM91eh7lwSJDFbTCimm2CwjfLZMRStRE+ztvuvpbbcCEB9CsthET+IQ6uxjI5mrnX3tWeR+KK
IYF7j0avfVJ52SUlIHfA+fPP1A9YO0Z5Nz/AMbjbV4a8N9c8yeJqVfOtGorlqyKo4ITw+tk5oIw1
5QH2Le6T9UqVf7+64oeXz9mptKbyHHjew+JVtAmRA4OBYULVIH9TQUIzHlFb+kd8xA3eS+MDpQHS
iyhNDfn0SnTHwzfQ0yPeMpfNNFN+DGGtT1Qk/G7tjvVjaBxnn/atigM8XQIaTuTSoQ0Vv9DmMFdJ
doN/W10MEwQ9cukiiExqDZ+45Rf2izY2ekjQdMcbunz0z9GopvuBY2WxSxuQygUijVIsnUbr2Fhc
L20sm8hVIPiGTn74mlyjUbv+0fYX/mKI8nS7znwaHA9ffeIyZ5fvMayWmd9h4QFO5uJeK4equkQd
sdsQyyr3NJapd9daMj1BdX6xO2X3+MnMl+67BEeNJ2W4ye2Cmh3VFcmu3zYT/YxGmDo21q7/haBI
epdUuXnryXrA5VY5zdZpb+RL6Ls6uUNjekJ8Ld7HrCd95tn+byTc6UBqk0ltAS/Mwe20r480VuXO
Tmvt39P6X715fE+RXkR/pNyj/jVp6VyGpVM/yM4L53kgi4w+sdWEtZvRNvHje9nnMS49DTQG6jXW
fb/dgczbUT6ZP0hkNnsC0NuhtIQ+E92nib/+MJYJT4eSU+73xVDYXjxr7i+HrJqGLnRa3yej1WXj
y1xYTgrvmjtgA968oNn0Vljqubusfv2oUCzJ51FdjUdkXAhNq/uF+Wv8pirKGF9jDn0WC4DJ2GI4
CUXIN5Xw8t3sO/2Z0sbIcHtytkWW8FdI70DGf9HD8pNUs3ODd8VRwbRgeZlzFhlLZx0NA3UrS66G
qVXetn657LYJgM7XVAmqhBs/NYR8yVTmnHM3eUvsINkRUuUBUDPLc2KTNBkZ2RtVxpY+VVQn75o8
2xuzYkSTFPuRObu36QLHWBqjIARBsGNJrDGiIGK8o2sCa4qEVNgsSxGtQ4frOqj+0HpkjfiG5h1n
QTsiDWDGetleVan5IKuGyQSSD7bsanXX+Lo5qKF9nd3UeAmauj+OARYpRw0vzGU/HhpolQMrEKlb
t6UMsOgpiZssLnC1I48yxxNP8+AyGCuvL9HUh4XvnQqhAe+/14tzMBiouisWLzn0frGilfY2L3zm
uGeOC8O3zL9+qaDY7n4asuEiM9C+XIyDT3OHmr8Fnlk+ecS/z2ZQFl9kx+SNwZZzIyhgeM9bWJTJ
ohVkP7tm00ckHOs48Uz1RdPUdJTu6kc0mDFHmm1WHZC1qD5rMpFeiMCzcxaABSeZOMthsXL7kxI7
SkZMa3moghH9zGhrKg7UZMkTPX1wN1rn1SlhFs1zEgj3bPpavKxdrn6Xg9r0VUutDuSIs4KFSaib
fDTdE71C1+EpSx7sEtvICIcsA0Z2surk0Jh+cahMS7zZjk8/FWFaygrXhZogi+qnqahNTflVwNxo
ndbVBZ7HeLE8mR+zdFjP+ZJv13ZQ/UFYpqJ/b63pT+P4QG9SPeAWTEF9Gk2zCHZuam8vBePSf085
qbu49Yviqafi7ylIm5agYibTmKPtFM0c7fe5KoY3wCHzXqV1fUqVMA+rpbuSzc+j3ornAKvHAZKp
Kux7ajuWFz1XzhG8j0x+YI+cJqW62EPj35XCF+cR2OTDKOcigpBvPmxH0fdGiFWOyX3v5/LWgvLb
dh1FVZLnzAHlpPFoQBAwRciswuwW+pCBKF7fHxrD4sAzq2yJ6O2lamQacDvDknsDrZSuqu6JyKeH
oKwhTnTNgZH50k9yNJh42PInqKnhe7Wl1gUS6Wi/KDVTNLQZVi4ubBHsb1Pi6ZUFDHCnGnwKyEo6
K4KtpmjRrmlTkk53PxVOjmYcfHLNFtSN0jif+fV6IPsh913Xpr84tJQ7Q7ZU8iUbvA+kE1U4FbGu
mxaT6xsv7fZkBAOnTXehzInAYuwbpkV7ql/QB0dZp6zs5NLg094j+Ovls2HoY/e4LgyTf2ZcYEKB
YbvlipsIF7xIUSE7h2N9deAdS5MXJwRmgMSQgz5QZJY/Vc6cvDBULfvajMI6BKtMmt02O3C9vTk8
tqslvk1N4LxMy2zRvtNbwce0JcG2y7Osfk4qI/21zDI/UQZrf3YOORiwrwxLa4aMeCJA5/wGIttO
yUz5aYiV1T2tvWCt2JjMyIFtEKxqLjGJQ0cIuA57EJJ3ydf9WSjPeQWklv2LXzlyvFdAWDZ8z2zV
O4FwukuqnKoQe83hN91kRa2pEnoSsgk766YVPITxlBgUlU0uiSmGiksRlgVvr4OPJuKG/fDciJwe
kcJmgnHSe2kaz4ZtUSHVeuQPKWFbw0a318TcZH8rKQk+1KTd31q4ik+LK1HUEY1/6l3nMTN0nCzl
EFN77Z/HNSHdyHOI4CLNz9xL5+9JHeQ3kpKjt3zTxodoG9ffSbqUvslsXU56nNe9Bp99sBCbHxMy
uwmFAIs6Xjnhbm2LG07U6S2WNvFJQj7QsFb9qb1E346NIS9O2vb7yvAOYmw8cLd8PeFkinjSU/5U
O4ZzxyANCnjdYDQFnFcGI+t3VJJ45arOTb/1rDieuktS//uUpL9oW1gep9ZUdbhck+mhTdIzHKQO
viafAq/r6IM9RDnRu9lK33o/mN7nnDenNOrxPS+TJFaLtO/qqWhOGW7xY9E4X4mTgg1cxbGO4+wF
rw4Mgara3/SEbuygs3WkG1O+bDoYT1tCYJgM/vxWXBW6wSjS+0G5+YUyA3tHbJYGzEq04+1Cp0nc
GwTmZFKlj/qqB9pt1rQhXXHtZeJO+qNbLecxreoRcg9VEZ6qf9DuTKGF171P5pI18UJvCceDirEX
SxP4UT+v1r6Yxu0zlRRWimUyo6K0OQMxZfKDmgTrTmtUjJLq24/M69R3lbHmu/h3N2yr+mlNmvV7
xlnsvh4T4DQiJ3cTkd/nkVMeNaN0tOw3woAn23HaOwUU86oH1nuvbabvGeY5IOKYfa6EA4jwB1yp
Ra29O9+7woJ65e3K2FVoaslA0AL2FB8uNMpX7ljAaHt6EPK72tbqrWR+ysltVf5mNDxXAy3E3AR1
DaW0FhBAtrh4gWmdlKfn2NBT+bKsrXVHY2395dAr2sEH1dYLtX/jvVmx54UEHe1fNBhxw6LSpj+b
yQBHuin8PYMHTexsGuIEDVTF9A63PSYxNbTt+7i0ECN+sIjnwl3bFw9i/TM3UrQVr5i6Ol6CrqbY
qlSfM4xBBxDG+nIeml5eNla/t60HzrnNse6hJGTl9Psc5OMzGWfuV+6U2T+0rOVbQ+90VHheAyog
qFNRpvfeSEQatxqbWwajc1OaWTv4A+U4wrVf7jPtOU8YUmInSBsc+SSHh14M+o4KbsKn1aTPQjOd
c4Az2tGzWR7XyV73Wzo0t4PPgkGQuv3oPTPbJ0VlPLll4UY5VUGh8KKRJb6J6qapgYk6udxT25O6
R4MwNGWaASzGNCfirea2kYZtsWRfVFERJe7NdbfmK/iu2uYkDZt6Xd8L7pBYOxmiMdQvVZeUAXMm
cBQXaisdnGrPKQBDDJL3mxVk4sXLax6gTGz8GYyheVox6BeEoKR+c6ruayjoSNh13lrTfanWr4Yz
6E3qGixDisG8adU1sasN4yCX7EeRIGzR7QietH6WC4TCyNYczSMk25zm5vUw9sYi05zWfng21Wwd
EuiNM0ysz7dJy9EUlG4My0GrARW96eQ/jdngPChbkcpPHItqGpLSOOyquHGpGD4TTJE35Al5HAxE
v9NGm0ITl6l93aaqfdGMXRx4ZchWNfCmGdt5mVb/LkvWNEb06A8iUOaPlMfnRyuIwMN+NRW/vuzO
MjXdO80Nak8t6/hEs/Nl3VJxYG+enwpl1DUchw0ZYriUGhjEaEkz9w+uZT5cNaFvdA47bUgHhrDB
9Or8gZNdhWPJenWXesBX0Ty4+N9B6iTRlHPxDL1lc9DftjG2l7R8Mxl7KUNqz+QjR4PSobazUA+0
a5nhOHvU1VMVgF9nZ7E9mGboq5X3slRBONKfrPYjI+5qNr2mPzs9WmLkTJZ67xIcU8KnwzeiYyad
4FMxhGAILOA0tDza2dRRyMWUuqbr1CXFH7ozW6NGOAsa7zzhNR3tpshPVrYO53Y023PmZP4T4yHa
fT0DH8QWFXAf19l6D4hrA2i8PXCkIfJd7DptEEbbnDbfJc4KiNJt8WglND0mlvnL2JLiRqtNPUtW
plB6k0XZbLthR25+sU/yKdn3rrk9BAPqW2rRSBKKvPLvlmJsHzdjob+QChD+lWHXR9nM2yeNg96p
ddv8Vbr0u7N4DwRfbazSFvFKhLzUwwN3Aos6MYolYtPUnLk852gPbGZjo0OGNC1c9wSF5Jbx6o96
oJBkbgBbqms5D5AW5Xzl8ugpq4y61TduxlK2J4MKcBijuvtu0ksSG0mDGYTRwmI8HLmuHwpRdQ/g
yuO+L3xUxQ3aKeT/ujej41e38BHzngrg1ovrNKegnWLVcefYKe94gyMbSX9Vh6noesHGY+l7Qe/N
GzStoAGwpv99WvM0RLn6L/bObMltJMu2X4QyOAAHHK8kwSEYJIMxR7zAJIWEeZ4c+PperLr3dqaq
bqb1e7/IJMsMUQABdz/n7L32TZFHrlrgwaugTp6S+jkDqmNuE8Dq82bxxrTcGvA3quMYxxYt2Zos
mhUAMR5I8F3GW5miWFZmnNJ75hCdrWPgKY/M2trkWBFE+hR7CyrD3Ddo9i7SldMmbZLhV+phrFqG
yf2EIe4+KkDOYuuVuYHlitlcvpU2pEuwAMzlV3mOXHo9+Mp+7JCXZOvJT5DmZkCF3wbHTr+Phjkv
YFTR0R5014bu3UKr/5kccVB0djjtDNiYF43MGZkUGsErrkiYCgDX1EONXP7RHh3Cz7P+Q0JzZQbO
tFFgE/k0Kjve1rNGwG179l2nrOI17VKUuKXSIGTcGKl+KXIaKf2Bu7AEINf12YXQgNSr8qunvh+x
1oczCTWeK+8UNP4Hm1z3dpNiGL6PhgV7Vd/Y6ouuAbPLqGTGD42B0YGBRMDZgMbDwiRLBIFtVOn3
hGmkpBix5lNPel8wxNekRsZ9M275z1kflvcRBG4nc9tsA2BXn0KLnWAPDRrFdbLE/XcVpx1YjFkP
3UpXBYoGus7yqmobFlM9zbm/Sbz5puu16dRuxgqN3sZGv79lG4HB5Pj91Ybi9EbjfLpCvixn4ghQ
rJROt+u72n6xkWJfGGY6QaIMxC5VYs3wsGR6wZoJT66aFMIGsGEfiXbzY28giW8h4je0IEXsHBug
kyZfQc6vMdrdM/kRBE73SETf56XHIutyuAbur9OdGSf6osHqtIDwMpC0GTfiCrl+MdYRipavkMDG
YZ04QjxFIY1eJA1m8ZSC3Qy0EVJAwxaRbKcgil0/ppDShS3PbSW6xyaqzEdrsssLnKkSKV2YNB+L
VskZlX5DLd8o92R2hkkbp+xSuE19I17c2LfgB/lutC6aBEVJN9D/XKm08O6QoIc/kqxYvtU+L08w
xRzYkIE0E46IBbG/CxCr3C0owd542kYwZnnCTkDXU186Ugp/TEZ/W+B4iaTgf8LgZB1s0S8n0yq9
uziGDY99vDuytrMBdb751TkDIlO/YufDkGG8uEZSMxVvvTsdpc29M/XjAYHp8At0crJzeWyb1USI
tbdiBKx/usBaN20+bKghcgDOLuG5cHi8O8m6vRm9Kn9yNNkDhgVOZME19FWmjV2vF6gPO7B25f5m
aOSMFhXNN1GbXYxvw6seKZHoftdl95KNtroqTmc/ltrznogB45eWdahDZPYe3YwKsNRnxh0Jbp+7
PjMRNHMPn8qp63+wAxVqBTXOfzYWYYfrEkNjElRd/DAUXvdYVZlkesDaUiJudZyjT3zCQ2F7+bEW
/BBZTMlNbuc9uLqkm4DYdPhcaKvdNuTROqkBlgseP9xSUTnljwi8s3QNkd+qn5CsLledMWKLOdzc
Y2Fxrwy3ykNuCqw6FlozK9OYJseGUsOp2qBtBVk18RReinF27/ix6MLbbXzXAscOf3yPwzELRFLp
b5TM6jx4y/Iw6+KrEXJTZDcceVyptZX688nt5+IpQWu0Q6JZrdPYf5rRywaZm0t2RlqXh74zb0al
SSdBapnujc3EucL1eHnmut84+c2Xg8dz2o6Ur0xoBjocRlKEh55j+6cXV+5DaJqELji2bh8dDvRU
Ark0RjS+7HKjBkCcjFgoCIOOuo8o0+0909UfkBqtbFX3nbzEUPFOEwKLq6ad8Vl6ypFAN8MIRufA
+CYeeJomM9qzqoY3L7IigYSeQtYO1i8knGAHO1KQy7WoOiNZ03ZvxSaD7lisYQhHx8Hwyjc7YsuC
CsyRJabDmQlrSlYO05YK6VP9yjy1PxTc3yBu+mqvY3BSpgcSUs0msbVIXRx200gztOr74tO1w+7E
7HAIcndWv0YMCMfJuIk02e4/TDA3qPGGHJA9BCL/bgglB1kvZW5lLwMVjEW2x7EDUrSzisbeKKY5
tHtr+a2WTums47w3DiFZDCuHHgk5OfQxTr2WLHK+19R61XfxkyyZ+di+mJ4TTztf1TTr7wnH1udG
D2Bj3OxGUicNZ7h3/VQRgmxr/dlkzC9XrArRKy1SjiZLQY23GlMW43FQyD+KrLfZaLI+Pk2GaX7H
76+KYKpDzF/tzMY1l757CBExHrkogxwUv9VQlOzxMMs+Yucqo+rQdrJ2IHhYJeDkMJ/fGgTlzG1i
f2uBjwQrAIIVV7WJSK4K4Ultei9ZTmjfWL37ycruPB91XKThZoFxmr0fvpmin3NNJn7IPyt2Kyup
Q2Ml/Fmea1xU6KZ7O+t5zNnFoBK6Kf4cd7Cbe19rPibLnAhyAcobsOSOeMnHljmKVWZHPXqoa8CX
Gwea7IW3ke1NbsOYClpmOCTWCzNbQNETA1FS9kopv0jfKc81E9QrmxdnFxjYwyqUbO2H3ixuOUHW
ot/pN1tBm6XGc3SrrgrVL9sh8jUhEMwHgwml7kYnuXlS/mh9ZU5128RyfwsiFOyiI4Yx3EpUBIDW
/OK4FKa402Wjz7PJxBtmDE3yIgaZ2LRWoJQreLNGYonS6QrE58GOu4nqunsfOITD+y7zgzJKIyAc
psPL04w/RS1TCFRtcrZuq3O0zGrjofm/N8baWocjv1tS2SN6HDrz3TSa5EywRnbK2skKqt6EwN7o
sUvWtuzf46Feru04lvdV1ijG6MIIHCssDrnwzB95PRL/U6v2viC8+BJCEAQylUzJZsin5UcX2fE+
Er53aJdq2nNep01cgbH7Fwnof+WCf0OdoNHCLAbJyv9fLbiD9tx+6/+oC/p/P/V/5ILOPxwPIZjj
SiY7Jg/Y/1UGueofAmYEo2lh3RSAzn8bqi3nH56gWc6mYSl50wj9tzLI/IcQjANN4VgWJ2b4TP8D
QzUf8We1IJ+gfBPvNkgMj2eK//4H/AuEgNHtKH6CXt4yFJaFpkZs0RX5w015+Jf88I9Qiz/DkAAQ
+CgXkB4xEnEtruu3j+noHqcTp+nAdbLxczQNtYV7HHFK6zNspNDJ/qVwRXj6nyka4sYK+pMMkk90
pecQM42ISqjfkDw+gDcY6qEbeEJDiIAHmMf0DmKcAqVnlxs6VsmTGryUFDr1OCB/AuLGT32WM1NO
s/HTO8j49p2gOxqg3kvv/DmfTkDslnuhs/pv4tV/A8r86w7xlTtSQm4AHHH7ov7wRaSegeNYk/aV
hVXxNY1ztsaxyK8cv8khQAy/YqqARj9R1VdbmcvXoNX0OkdpvZPDrZ87DNlLWeme9X+pfv3192f9
+3OiXKyFpoe+1eaZ/E3HBTHLrDkdYZEA1XFKFsHsO5GVvfG6KT6iifYQZNJJP+a9rQPT4ODRR5YO
+Der/S2e5M3CaXSh7EMCX1PXGVcdCYnDgA2U7I5mzD4Q3Kkds/j2Ia+s6vuAE31XzE39+NfX8s90
8N8fDcVurdB6Id35PTlYJQuGpMGWQT3k8f0sW2TsGNSijSYQ9m5qkwHnum3KwKi66QuhSRWCty6p
IcsCtah2feM6aN1/uGg/2UtFeV9khnzXItt2nTx5LZlkpZeMTKGM6IKdazz0VQz2J0o/atlQ+Yby
3ecgcO5JvSjBGABrZtI/0wvO2tw9I/WkhjDCpb7Jh0hTsECQb2mZQ0MBv4D5QUG/gw54YoeMv5SL
V5Ttxq6P0m049JAwFGEbxujPiX+aV6lFJ3hTMex8/+t7+c8X97d7yYFOOrYnbGGjffzzY0tiB7jo
bpaBCO3iUgH3RXM/mfeAJXZg5X+xrerLcIsqXBOBAesJr8L0y23y9jsDm/7URNPIoYQSnjCxPEec
1ZCXVZZkFxmhXT9UcdXtx7GL9BF38/zlD5N4ollJFl2OPEXYWXRfL7Di1zkWnhU0BH2vsiHd9oNr
/s2D80/y3b9dLLWffVNsSl6F3y5WmezHt5egIwPhHBUWJEVurXOoEXw+GACZt41g9B+KnE29UdHR
riXHNiZI9V4Af32R4K1/tlNk/vjr7+E/rK/qtshafAMuGtSbDPMPq0ceYebL5SSRTVikArXVr3ic
Dxhp9cYj1+ivP+w/rAXK8S3LN+HtC5b0P39Yxf4wqfmWJjN33rtJOtjtLU7/Jqz2d+UoV/OnT7kt
8H+8JJUmbndDqWOwTX6agFzu56Ek7sHpy3n711d0w4b89sUqH6ntbUe9wZd+u308kmldW40MAJZa
R9soli8Em+6909r0KnTHsltWk4+Y3DTLB0yF7eav/wH/4Zb6EKd8T7H+O/z2zxdbGZOsmxguT957
46uArUTPffH+Zhe2ftcBSyU4OEipWMItwOc3atEf7qnFkqvmPHWDUbaPNW1icijnXYo0QEMT85OL
Lu01FoGvm2R9iHPjsgiQCewnapPa4KD9YeiIm3KqK1DiaXeDSVBnUZTXSBVIvQnqJCJCY4gPAICZ
2dr+0m6KqflJs+ZvxMW/Px+QYKTjsFc6wr+dq+w/X8viLFkz0HAJGrYdxCAM3ly0G5vFrYy/+Xb+
7bb5pnvb+PB3w50BffPnj4oXes3eYPg0dd3oLpwzA4/vMh6jtsy3dhcOe261/zcfylHw97caOBkn
AY5LrKye5Hj258+d4KFYBYLKYMynZ0mZGtigAHZ+qKd3kk0gIwjdPRoo6ohy+fBofm09BqXf0ghl
HIXGkbMPFgLlMYN0H7qaaorF7eYMQclGDunN8/oRWt1HNSLsMumykzHVrQiJt1ZNjqkJOddBZqOz
ar3OfPDB4xJ1QRZCMtM+MyS48sSczS2aGnlSFYbrCMFbbRn51tOI7nxqVPwXxXWg50zxGtW8QI94
GtYs+ofMUch1quGyuN+cevkqobJcyqWQG2rF6L2rjOFiNKm1ndKOCfaSYngmKpW2lZfuciJTTP6c
px8zruObAayM177uxi8rZ87kxA4VetHbzodOLMZ3ZvFc13RE1W7gOpM0Ej8Y25GNCHgewRYEb4/8
xYVZjmy3ErxVUCZ+vdc5tAY0psUZiEL2ILQbDiSIND10Nsbkgm7Kz87O1KmgLbZNRCQ2YZLhbvbF
SOLtBPRlE7JLfWZdOQVJVyK6TPGB5e6TZCy+oU3NkKocBgdAOTFJR7S4zhXcRrP2kjnQthn4ld5X
4Pd3Vm4TY4OZB3QxBjmCJP1f84Rxexqem3H4CUxIviYWWHU0d0VABNpbAT2rK3S37YZ+pGvdiNcm
Te3rmJGQsprrquDvymmX+4uPSLy5Fj5e42hQpzFjKtPXKLhjtBs5kwHaOKjqx0uLQXYnllw+9KMq
vsqOr23AJe6swjj6pcbe30VL2O1xv9TXLlfivWzq/G1K7B1YBgYwSarVA5D1+krzh6aLjsyY5AOr
oZ+djsQ/RAvN8HAeyCwmI7gh0OCZlJ16V1dGdjbqJtoTQ2s8Zhy0zgPzjHVqWuaGPFiPT3brc7gY
Q5BNGsiYo8Q3IxTtoSKO6my1dQMUoOn3S1r0V5yj39vRm7+ntyucTDI82nB8YPK5W6pnU5DNqor5
0oTzKTS8bpea6XSoRFb9CGmAPxPWg+XHHlBqDshYVJOJO8PLGbH1Tb9ZfAanBCXIq9dM8TlrqmVj
1rNYQ9Yufymz01tjdOa7om6LC4rVn3EjP0r4xmAcCGsPmX8l+g1JZbV3ogmD+EybPbY1JvUuXg74
gMkMaqM3RotvWKwGbO5StN/zSvSvkcrcfeE3xc635yoAOQRDqpg63ActnHa/dfdozPNta6iIeSH/
KGG6TKDb0jihn6EHJUL+56x8ZIXV+wZP5AGhMBpDt4x2hNWgOR5/2jI6Ehng4gHzaUCVsC3WKY31
ncVE/WnUBDGNejS2ma3UBTkjHdjKUE/2MH/vlKwe83ZyL1D36xXv4LJxiEE55IV8WGrTvg5xwXdi
EeywoSMz3DnEEfBS9fE29qeJyZUN7buq770Uu2Rmu7SbZ9zrEl7US2/T38nsejmaJlHJsiK0bmbW
QFuoYwTnNiS/iDj91g30+cZITmec1DmxGtV0gvhcBAbZHps4T3d4tD6aGEF4hJV54xjMvXuz3WQj
QbDaKMgazWgBzYa2fhBbCQdaNaQ6wIreJMiXHyyjwFoXUtq5W7twXu2wkayBEXKpmLmE8LILxgvs
AeF8FBg5BhAJS5Y+44krueI6u6JKFOt8Tqwvc9H5Yz2mnPTVtDi7tLPoK7ZLmaLXdS8QQ2i2Ehe0
b7T9JEK9RgpqrYYhhP9FLmS51EMAHB6DQnOMaXsjt/5OkvdtyjI6DDFcAtoM86nKarpQejyVcgzv
icZJG6jbdffeL4XY1M1Uhp8R5RmWXULvtigieqrrpT32oo+YodnEn2bReVgIPO6tSazjyV7IYCBa
YmU0LTPHxEcNKbvSQabvEGU1hfTn4JtVaZodK9sYHwyREDNgluV9XFX1nXQRSjhuc0U5jwyMwee3
xGkrFBJmthOhl7yGpXKCnkCd+yRsb7E7VRV0JKidyzHJd75Wyy526xghqZHe4axm9O+yc7bW3PBe
1P5+JMZgXfcp5SCztE0HK+ZQ2xKuC7mAm6zNzFM+1RhZGhbvNGmvrfhFQI/N0MyYu2fVe6SP43p+
sKZ8fsQ1oI6ETcxHb/HSo+nYM1TNPnwrF39+J3yQ3qSVi0dycJod/Hv2QrDyO6elkY/TGewPPfYt
gzCPTCgTZ3XsV3epHbHdxvMDTKN4ozP0h3R2+sDkau+JhpNHZuXyPrQHGTDuMJ8tpnjXPOlt+sqT
usfkiSPRT6PTWCh+1/kjbo70i8yu9DmWhck4LzJBZxHCN3TfVSHjbYlEFKAV+vcU3URMbklec+5n
7DofOjSAttHe1cNFmklQdG55mXKQJ1GtVb8G8AJ7kub4yW7c6rFfEvklk6Z49ywwTKRDvc4kq2xg
k7H9Nf24wwbeIqWAubMzHb9klu4WjKUanD022iLHg8yfmGm39nCyPCFHBQqgl9wft14t40NjezVi
G4d4VdDLm8UpePDDvgXpokvXOaQRqdulMt+U03sPip9H9WkYV7SA+WlJmi+3swCtZC0h5gRHlk+k
aJ5hluy9DrOJulGDluiByEB3o+cxwz8Vp4fR5j5HJLesG9g6K9pRpy6qgzEKIRm14bYNi6mmQUD8
OBIs/zIJf7j0fRe9UGIih2AOKbYEPbjxyuvG9oy3OHz1Wk88FkVvnqx+qu/sKNInrXX31cnELJiP
gu6YSON5MEwHpo82/R8qicu7LMFHZsX8nAgVOVRorASwi5ogbJnauLa0PX+z/M67LwC5wL+zqzJo
fa98rEuvPMRNOv7MJ+0OmCqM+oj6cNx1VW2jSxSJID2MM0lKBqBCsMl+PdL+qRB+MRt1gKyxVQ5N
CFNEDHz5iCNWHV6P3dzYMuec2bg1PHbiP2nu56+V9DX6rCWPNm0HamhVM2MNgxS6l7tqqtQ/I70h
OTUzpg3WPcIMMMPIj6hhC/LqMP9AvODh+DKMmbxrnBbTVPiA2Jqafzw264LzTEoyWW00HZJ6Y7lo
3FscmQBVXYAqdKd0RHPrLt8dL30bcExsY9Lh79ooxCQ2LEhrLV7opSA0Mc7QCthLFTA5Bq5z225M
y/M43bZLc2sRkaBQEPwKD264t2D2bONwiLceyQ0wQ7zyFl4fEtMQT9uwIFyCHNwtuytJH9ifQNfO
ZXo0dFK/lno5DuHX4niParKeWzV+E018UHP0KbPuPbbA6hSRUVyb0VT7zixRGJmFd5+PKus3eZVg
sTNF164qzNrnwqzbjSeJYilygzxYL7c4JylZnnzZ9k9Gl8Ggg7PW4eWwhnNWJsirO9iXyPRKlNX8
E4aHJpTRNff1U8j8HqxFWX7oxVwwFE2mvae1NP0cUxLUALU0u1lXZIzXtbcnwji6YXmy+Yt0GPT3
hcDG7bgAOwib2PEmK4QQbXVVyKL3oymij7LCS9GKASFuFYFsiPw7u8zqq5vRcGFcRYgLI5P64GHR
emX2wqaj1GijhoyYB7vVQs1q4g0ilcVNfvEzZZATVV1vmtlA+sUxJnbQrDPphlpBsk4adReGRgAc
HVqtQWv5xT1AIQNtnlsRRpPG3i5lqM2S61Q2pEqLNMjOV0+GBuO48mgawjGZqw8KdvNIi6LCSGH5
vNyDvzMig6FvuFxJLUXDU5RfPU3HrbZ78xvvMPoWewr3YMKWB2M0kbh6Phl1emirg10q42TGdggJ
VJPmmBNmdoG9WOIUgEJXCUiYQ6iSTWI74lhEiomceWeBPfq+DFGCcqOJn5zRqJ4WSbQaapIZKgXL
KZFN7hXjsvkZy9x/HDLLOlkekkj+yujHbSn8BFoTPw1T0QAFEpk4tikDb/IR/Bdv6ftnL/MzfzP0
yQ8Wlvwcj5N+mcwZAkviZdVWoAH+JHWj4RribB9HarnP+yQ6iyVqrmOrq7sqre1DHQ09SNSiWmEX
iN6SeggvSEpKXiB6LxPGpyPY0O6t8BN8BS0SxR1nnrpGzIZzXxUgOprRw49BlyG50BkcX3ElzF/a
mIu7yh87f4UUrbuiifBopyztvC85rx3dvHd/TqKxbimxZXK1eVSvBFLNJbqtybIO0qM+JjXREPus
pSm7KpMp3zapKvdxOaVvXVe0H03qmChqTQYHq6pZYNJwOE9fBiH9jaVmETiF0ZJXWRQUNioqzPsm
HuOzwQg2EETq7ccQO5NhCya8KLoe2CbTLQFouc1b0kQoiNT8irG3fDESI4f5piSI6gUjX1P258y7
Cd+QiKzUmA37mkswiIqpy1/80XGhscCTDLJZeRNSu4ZZh46UfDRirIJem3IKwcSJxg9RAdgjQcPU
NDnf8Z8bZo2hDsZltC4CgBrlPQeeM7668RvhT+kHkbZlG4RC9rdgOnRtj3Yc97u8sTns/itBqyL3
bNVG8yMXSgu9brVBUVXYOzb1eac9t9hntmHar0UYdr9GK80prekclneWw3B5TWEgp6M/k5aHfFl4
8yafGZpuOEkbxsWULlFcYnZzMmekfB8KXezrBQFbvtj+PjGSZl4VY4W2lRN+WvG2yxpZVFVMl76Z
GpaCZRn0KswSP94WJbRS9IYcbmFM1cHctbN1T3vvFuKVSAZVqkqXlZwa46AbWRHh4XcvaDIIk7lJ
k6YGZkNnKP1rqf2F+CyEPHeLURXfpajHbQe4Ua5ndlgEL9No34P/Xt4sxFy/MFWhb1qk8cWlNx9D
iCwVLSnQSbZCloE/xoORIjmfu8qF16MIE9mOcjTv6YZFrOdjkU+b0c7xn5J7eUlG3zxX6FKAXnaU
i97UqO8pgbB011m43xoBPy1Q9nRMe6BD62lCLInY1a2xu/hoeGsnfGekxHs15gmFXlI9lWOo7sNW
RtnWUPb33KIBdYshc3qH4Qn9zN0tiyzLiBiHW4TuulyMCFejh2h90P3WNuF2EykvLoQZwyFP26EF
KzzigZrLpT/gUreC2kjaPiisqn2D+THuU7avV+LNw54VPnahNE2iu2uXNPtWcVwKpqnq97yqEYq2
QTwAejfA0Wb4mECAkMIDxBPB3lrrGaCe9GJ2ST0up1QICgOq4e+WbNSB7mp0tEb9sxPjz7YzXkxK
gFWeJgLhF7wzVdlgMSeW0EqWw2tbR9Ed2kj/noDj5OcIChVpaZXMZzpb7AwFB+uVMixvAOkhbtlq
CRYpXRs/SZDEEM1s7RfKpan7cfsIFCruhPFCxw6sJhdDEI7hMaG0h8uNkdTEI72qBelSTsjFgV+l
BF9eZduON2Y88Z844LL1qAiU0aH3MBLudupZgyWXFW6SXnd0dBCUHkeghwfgUuQsNfOHyd/iriwD
WQ6FSbZD6qQRd0dKb9p5+VQDfbhoh6OOQAE1XbB+2+9Il7lytuEV/cX+wIwLX1JZ2K/sTmvHiBsC
A0PEJAaYkzVnmRQvRaY2t/A4nHHNEfAEAfR9U3/NuabdVgwEpdbUuoZO4U80Ux+uwxK1dKUG3gND
yAOmMarmms0Kz5RmS+4zS+9cxIcY8zroma0LRCkarPrcWUa5NZ3WwzsCQm3FSiee0EtAZSoNgF1T
qjRYz1QfFqSHRdjGD8R5rQrf6HJqwME+hVjr+pTncHZnfF1KVfOeb7wnCdByGLqqiSc29o/V6L9j
SfJeoZe5d9nc1utMLYLWbKE3kr33DgOffVLj4MICTpr3UeCWKGRRrDkc1IGlx2mdkES4cnx/OukJ
Lx29BGMOfDtmWldSX13R/fPUjdN4xAKY/IhaZDt1HkKdlozRULOWL4Urs+cIjeujYUTeK/P6ipKI
4En0qUOD9AqCMtbEFBW8U/Y3eEyC8b3Orad+Ln3q2QSSotPXB7EgwUOeejPX3GzbTTaWa3RU/cp3
dAHfgrMkJEy4vmDNzWltYOBD8XhTz7vVTCh44pNT5hoSdrVfTRztoUKAhx64LTffa11su8QbHnsB
XTjneA8AkPbIRNlloRn25WRck3xOzw3hAIh4i34XV0Bwp0m699opm/2UYQZQDTmZcuyogTpcpW2Y
1g+Jrh6QONkvQoersrU+k8r95kPUQR+MMWLFia8JXIgK3Qbq8rqf85OLmmwfRbH5iNvLXjelre6K
ecpPSZc9l4hLVwLC169GWOLJaxE645UKD/jnlsBoxqfQmrD3h+70OBWTiU9cZmfNTgojr7zRhIZH
7BkRTNGi2HV9626tgi4zDV37BON32EnMhjhpq3LFMORjUC3G2SgnWhylD6gQbzdAJCFYtP/VU618
zWAc7NrQ61uW2VpL4rJHJl8ZcuODaVW40PDe7LwYjEZOzhpWEroDwWIv8XM/DFtACIFNsN9BMOsK
iBP+4XTFcoymyb6ooW9BB2YOfjODlbSk/7RzQnPYVplpwI/rLRVY8tIQ5IlWNYOc20oQHvgxarhk
jJZruEb5UcFBXGoj8NPyPCbG8FH48mtQRrQbDC0Oc4kAqle5e0Upta46fKRLvzdq6ruqj5xj28QX
er8Vs4NiV8XptTIkxpB6mViaKIetqdC088f5SAPsJcPtEdWmt2bwsLaShGbfONQHcH/HCMUvtYTO
v2zAtWsQgJ/LEt0D2kJ4GSUVEBBhwThltm+xHRhkikpKoEUmB0yFHfl2PsFQeDOZZHH08I7SwLcN
R4TMOXJWVpUty0AJQqfDWzkhha8/S+W7R1DGzsauXIr2QW8j1ly0j1E2buBjfa+K0nmCilEOQRRb
qOwmw3K32B37fT7PtUOvpYrvpJEALgFsIT/akdyWb3ihMl7PtgYYh0jx2QY7Q6010m3L5jHIeG/r
NbV0sCg1+1sGFLQy2mS+hoYTPjU1FgKCIyt/5ynr4Eucj4jj7xppJQwwx2ma95DZk2+gCdkVvZRH
qoW4lz4bCdJrh4o09r9FSchCLKQN5K4Bwn50E+oTtI2uwPftp9nVj0AZHRhnp/l6HpiPMKBN73MJ
X3bJtF5PDYyM2e0T7Lrshy5689t66rsN/uTkMZ3G7GnowbOsWTfKnZ0u9DSnkJDRlZu43kdd5sON
ziO//hnK2Tr+AOjZ59zcUddB89P5dll6a01ooACuIdnuc5OvmmJwpFoMa9QlymjfaRS3KHQntPu6
9+4wC9DDxzRBPqRktcrPKCkhCdXNxQaz0xX1t9hEMMyc6wIQBD59ebFJ08GcYDw54gYtcqIyukoO
JCeeuBgeUdpQESPt7iJID7P4aiVxh9EMDjzHocZ0aW5WRervxsL/HKPxUTb63Qk73a94cXnjQcgc
NKyhSEX9zinb6uwDn1u7LQ96kdBsJAnxJrIRwyN7d8kOmdElS/O6CCgDqFR7w9HRKl/G4ucyktTX
Ona35tgD9Sa2V70XUjM5o4nKBGDKuva76QmgQP8SITzE72nTpM5lc04RMJh5dupsIwyE9sRGqJgm
RVeF4Tv1QoH9U3jNxiO//jBWdv+ZiBQGfEs49ZEEKxPbi8xSDr4JY+GmZ9MtsA8xqlgr+gVzGvn7
2RTDxqTUsVh/iups5qV8aiYf5M9E/zQxDYYjMv3oIkPs5pEVl96qPiWVbLEN6uV99qjaijWjLDob
YOGTi9sW79Mk7Csc+zDadr09f9Zmku0HTscnTBXu+9wsguYXYz2ORItcV+nsmyedG/BLPI/bgB7M
SHdFF4UXm9bQD2pTqhDM22f41yWNCu4fd9KIPRGEUuQvlHCYi/C7Z7O1ngphHh0ffGncjdlL0Tf7
dqgniBrTa99BjiML+oUB8q4WytvnzJKCYYGaZM4zBgLZSnrcqUFmOyNF1pXkBc9wjmKkpjIZedBW
uWu2v8olOdeNB4A1mXceyb+I5qvAzSa2bBr560UldODjOogtKFQdShtSAqyalO65sKjxUcOAgZfJ
d2tAP4+osZ72ZJm272bp01t1neYgU6v5KjP6sRtt8YBMSQsIvGj88SmXAjBVI/oM6BKupn+G2nqx
+i/uzmRHcmTNzq8iaC0WOJqRC218nt0jwmPKDRFTcp4HI/n0+ph9W6p7oV400BtpUygUKjIjPEiz
fzjnO9mzOYim3nYM67ylbgcT35ck/TUXwQOK/ksrOyqLvowObE5YOZhZuhtqj6CgWu9wRNiZmh4n
WBo7hGdqTqR3zZ2b6ACnyNNjnQCl9S3mVPyajNpY5ohrnkQJbp+6sIyOzmRzhDmyv7UJa7Pe9Gnk
ChOkaWSStOtWhb2vzd4GUIS9+AJwSj/0pFu3rNBKQEthSFgnMuQ5d7fVTVj9LR/5UjO7l6SZgBK5
k7uORF9vlWvElHXmXsiSa1CFzhZ0ztQsaEpN6MngnsOarSLI/Gp6yMvvJo60H+j52rKWnXZK5opX
TWb0iF6vuFgeDNmCbO9bPE1ix6tk3TzGQS82Lru162nOyu0nUm0ceMvmhH/GSYphaccx51ZuJid0
TsB+ZE/t7FfEk1T8fnpqOexThoKVlLD3L6DkLJLKN15Txg0YiiXpkIkHGj2yBLAjLzonRuF8oR+W
PrgpEjCjJIaa09kOYeFKi5dp2KkVMyRrNbNpcMNq7Vsdhc6TwfP5EJYGj1JAcqqyp+LRQaoFt8EU
S26eZhVzyDKg6u29DnyJaUoyRis3IbMiyspkizG8fa18zrpCt1joqxxl24KsBH7iGbUMXyPHIFEG
Em6OLMIvGx3tu9O70XU0mwqaTKItTYSKCxivDsA4r1+aeiD4pFJcG7k1HkPN5coJip7fjioq90NT
2nvujj9BL62z41k3Hiim9UyTllnaxrdQM7JuRVLB3DnYYTZccEyW6bak6+22BYdnSBRP0+94rCvK
R4uRqcpcmNZxFDxL3JfjfBH1+qrw0LYvNT5ZJAOTd8p7w985Mqu/TDI0LGbuvrTaKwm74z7XB4gn
iQaWu1UEmEFhjvyHgGHRE09X9JrkpfGmTCC0QjbBOgDEv/ELf7oKgMWguObMCH/sWTunhv6G6rJ9
TiaTwZSbVYzDJ8Pdh7UJJs8VwY8XTO6q9PVkjUNrfKqA/p1y4iQ23BbpWsi6OZDNCul50nuT9Yvx
p0vugAjn1VEjK2VlBml6cMbA2GsEMeF2i9iYTETJbDC0ThcGLZDfwkT7SIJAvFgNhXZOk7RrtLBh
Dgv/Y4jg6RitWKfm0H1rXmXu4Vb5xkKaChRdaEQnLNbDjScypaS26/dC9PGX5aXM0kkseZLS7NVi
pN8hipf1MQoGkmeI2Rli/pkwJbmTc+F1+D5wvyz1vm2ejCFrLnZSVM5Fd/P+0EIRRLukqW7t0Gvt
qihkgz4l+g1IuUsnKTJj5xlhui5Fi0bFKJnqwaa5+71lXsKyoBAxJEOb1CQkyePVK4OGJaY7pc9h
nSEh0ZBQTU1x1grtWebaj4W0856VWvVINI+/0Yohmqvaol/aUfSikyZ9HeGb3K0h6R81sF3AcR4U
o9aNacfdW1KI5uYY1vCmwadbxwhRjlYRucSZ+90bx8qbgIhwHrW5PlBZcrES2zzmaaNv0wDeVgCX
bOk7ffLd936zqZSpL+usj2hVdE4HBFY7esMIK1RptuAUpe2QuNBU2752p/csqOpxAYvY/MosjXqs
mTFaKXXyEYcJWe22YC5LMM+qEXLCJNiZIDlmaUTeuRxNACGyUjD3Ee22tmR3KAnPWIbCMN4cDywX
A83ez0jCyowHhq3REVe2hRO8jflT5bApSj3ZB+Ro3kpZNevM84wVrALYaAYjjTj/jatkIwbujJQQ
5i1lNCbX0bIrAnHwxPuzkbASTI2FG7y7YfiNSunHZdq6hLW2iXxjAwspWlaNAPRWFT8JgD8sXdo2
j+p0kYG/K5PRxgvVYwUNTkoWL0PHsQMLejWkLIY0Y9TZG4drXtllZ9irPpIGqTfl09gYOxRDSwkE
YDfiyFs6KkKBwFYI1NTAIsvtGPdkDYB6U9tNenVILXvXxePJrph+j4ZgI8QfuWvcId7YbYAeuZwi
msmui3+Rp1RvNDgUZ4xIyZPJ/uvu5HSMxRQxCs8KY/s/phloVLO6X0v4Dx/A/+0zLbC+meBGQGCP
muc/esb/asfI/1voaKR4HhK9/9gMgu69qD+yv5tBaDP/8WX/5gbxrL/QSptIMLlfJELCf8vW88y/
cEcgPUW97c5qRqR+/4DEYgWxrXnuh9pWdwzpIIT9d0is8Re2EoFhANoaX4v6+j9hBTFmOeHfVLCz
nNLFK4HIURqGwzf+z3LDgVSZPEGGskMQwrCGe2erHDREdWxcrLrx9pHfv8cFmkInIKXdFyBqHJxm
f/vI/i9WEe9PiN+/fh/IU6UjpY3m/1+VnQDZNDCqfr8TSUOSuqQ/sJJNMS1FdwrDo13xJt/8DO1X
BDKZLKKA+AT/TI5Gu6hq695VksHgbmpeqJotPT9a8VDCgJqbvtZdKSExqZbQ3WEL2E77MHYjMhLg
a04p9JXePasmxhbAmsHPSSttbgPOa5X4B9Niv6yJjd9kr3YWXLUYQ13MPA7YSb0mIeHDZhPGGIAZ
oCP6oQQnVpfrgb9oRXXHULeI3kBU361x2CT+uIsD66a8xqIjJd+FD7axLDxhgtYnKCZ9I4OZIydO
fZ4ZG+AVS4gThVZsRGUx/X3Vkol6Mn6qMP2hkN+ZljzkIXlyCVsHWT0Ng/Putill1ZBcPNumJwh6
MmDtAj6iE716RQbjazqIwfkpwmjn6r+0Rn9migHIRJ5rRMIArbdmW9ASaiuWZHC7JN8G0ZF0/sma
ydon2O7viMU8lAXLWIGE+W16ExAxxwz32UQKWAVNZjXICYWQOms4f1cyCJHbAfXFtf+UpcG+1h8b
1tlCtwTKDfVUDcHNgMhjqUXMp4XzIs1HKvEVyVuHKraeM9etFrpG8lvzVOXDbyQt+6HR36fGRtWo
e5Sv5Vugos3oREcTDcImG4JV5hfrVnrPPF6LxNkgFLDhCKPQHNp+DaPlAqTqzUc21gvrkQksvCXZ
PRtWsTKM7yLLLqC+jl0/xKA9oOgMEGOM1rHYHuOQ99MVHsVfMeWwabcT69v0jXoN1YN4xh2vL3wd
4kzFLGIM2dQ3oFBNXVtncfult/QUvu6jxZxRUTmeJbV0+vA1zoy7nb3CVpuucaKS137Kjk2CQHQA
qeyOylvUIlB74E8rSbSWxCokqnzXhskbE8+fRCvO43QtnWdQNKhVq5lKWuoPZotdR1MTy9j41TZy
tesoNwjGu02+PPUDsSmEmWNAvtrjQ+2WZ6l7y6YOWQzbY4GUqEElYQQrYA23dvCJFGawxUKaiTaG
2xUM+mTnhjdoLif4LkS77ZvcAkiMCITj4BZF6IkCf3gtmQlOifhkcryOVY7KVDPqc+UZNW9Oki4j
AVxqaFeg3j6d1N1UyY3tCrxj4yHLMvQL9ibVpxfdzXYwrLCygt2hoXrVGHIj1tvyaEhaFzPbW9Rc
i97QgUr34lJ0xoFO65qbEzs9eAxVJ98jIajDIxYyTAnG0dqwYbxKs9maNFc5+60jyLp1UIVfordv
BvRhXifz6umw2KvWuUZewCjH+wX3gywM57tIjD3Jug8jjTHNeAEeJ83ZLejqhCQl3hSSbAijjh/n
dO/l5OvXAJL8OjdutZiWeqPzycNDCHQMtmV0JjlbrYRvKRarPaNEEAeacG5O7T/QSFY4jMs7nLtt
HxLqFTmhseCk+URps7JH8ZLRSwn+w8qMk03aOMkKucaxCGt2+/XVz9v3DvDsji4vXJbSfZnU+CSV
YhbgnQfZHolsIjOmvuuad2Vm9Y5M+pfZmpuu8E/62L1XY/KK4TjbtiU/h0CuqhXrGlbfJCNw1Lb2
6Ll8PJlRMbcCfggVYdkl48S6rDAXIcvpnXTVXqFsMUmTnOryt5Vk2xz7pRtAm1ajv0fdaOIf581H
UDyAknZ/oKq/DHMgU5HY6wpuW2V55TK0U0pEKyKa0sh37uR9MPYYFhWxqQuYa9sU1hBmf+3ZLKzT
0Iw0mHV9oSN4rbz8c5SyYo2PNV7PIGIlkhcjM+ZsnPfe82+55t419HR0FZfJ1BlKEm+4bdBqmEWw
nwL7p6JFAzcSpCsjak4TH6vmk4fXK9Az6FRtQDkA/DKizDTbpaEMnCVgQEQFyZFXb98aXY5wWbvV
JXMnlPboZmPtbOsEV0VBhPmv3DZT+qi3acPHHKCx7raV5HmoXT5JxCxCnjvP2heTfVDk1KX1QYS4
96Ub7cjZAcbgH4Tz3lnJM0Gc66idJ1lIIhkmVQWHEPbyTRv627IWq7L4FTb5JfPka18b+wGOSZva
R9W0O9WXG8ICV4bXI1RwxV6PWMckcbtI5FPlq1XV2rQU7Hfa1zFjaKLSHQ0jmgYDDWR7NVW/SyY2
fdLbRq2PLbvxdwRTTauhr+/CB8ufYLAK7SEho+jV9eqVQ9KPgB6de+ZOpd3JkKdhslbg3Fn65PWD
NtEADZxcJapkL+aV1xx5c4bwpxyPdP1rDPjXEFgyjSp6gk3Mir/Wrd8tSMO11cXYqo0j9duyV9Hv
yMy/w8C+WqK9WKLeoei966NaozshLqP23tyYAW73G9k1ICKOTvIZGqe+MOLlJSzeeEVeiJc7yPQX
Cq13gOPkpsWrJolPnd5dZUyCWsFE2vTDs8OhxZjyoW6KA6aLS+fFy7GEn+NkyHK0dDVq9icUg0vf
mbtiGM80K2QoxSB8PWOXMfJVRvfRTd1bCHUpdaZdYsRfENo+sz+DkDMs+0U+kHfhkKQjwvLcCBx5
qdGgCVuo6MnMDhaHQqhWNsdyB2qsJVSu7VDVZlt8hlPs7gFPXnWP7bfbw5RDUmL73J9FuxXDCh45
OpJEPxcBw6TUq06BnTzUOZoUWEQd06+QHKQoa9/Dc56ezOY5tgHgVNqGBf6ljJsd8z/8VX30IiPp
LDQQ5UTwLFV8k0wVaZLSQe2KrPm2veEYMuEdKj7A2jzZGWYXQdayx7w9aNKjDS1fSPFSD/WnV3X+
urVtotP68IWenNl40k5LUHPPBB/bD2ryjKUIG3dh6MywRQF2pGDxrlC2Juw3kpbgrtx2bmyu3oN4
/DL97rXp0y2jaZAQdv1SJ+WuUPFLLNluO2rJOn8bMNER071vEWBz8Ca+ywY3e6xKptd+Q0fnrGXP
+AotrnI8YG3DyfN41GmJPfU7JbGtix7ayjsga7z5bXSNm4MWjSuREuf0OEzhpmg2IYJbpB/wrs0a
RnMYcn8QbIWcHIl1sBqZ58VqO3nPgTRfA6U/Rp3OeeBuo+CeRMm2tZxdF9k3jNKbsu5Og5499AYQ
Fx6gZtlP0S8Nzs5Qofot2AiN8adS7U4o8xSVsz6oGg6DxwZSVeK3l7+EvJts0A+KvVtcF6S900iU
6LjbU2SMrCjcO1zUDbvnjwhHq66T6uL4oFBd6gdoI68gNGYqw0s1x78hu+nMowcLJIo5smxK0gEG
VZWJJyO79846AFOODQAnpkeosWD8nGXPgS61Zd7H0cGT2amT3Mi13kwH6efJuXRF9qU5obfOg6nY
+75VU0PWXvvGcLh4qdqJZJUIzHKftuNv9oHuzYt191wnVv/dqyJZg0LSt44T0ztMwkfWwGgD+/6w
LhxH/xJ5Gj64ViaOmA4Iy+Swz3aeWSYvRP25axhx3uPUW3ySWhv+yqiGdykwDojOmmOs2zJA443D
s1uGxOWtU7Tl+ZBGe3RQwY6VtP7DX+l+4S+ZPrVM6LvMGdutjweFEODa2hiY8a5MNOqDnsfZES51
/US/R31MYUZcW503D1WWWHd8dfNosuJuiUO1Z81fom6wg32nAdmUaGBv6HiGlT8yOUR6BXEGc6m3
7YqyOhMbEqy5a0q20h5QG69szmYu/UNad83B6yRZiYTkNshDPD73QpTn1paM7mFrFS4IXmwaevxU
uK1ExqmPXwzSKiRJwsdiMQVXG6/h+2AhYCW5q3qm0eH9cZsg+4RF3AEqRgnBYiSMryCZnbvjxeGj
Z+njQ6O88mKo2nns7Xi41oWHLd1+QaW8aFwm+N7UDo9+YQD8s21yh/JoZJwMSWszQGBd2bgr4HDI
ji3BJE8jFyZCyUjuiM9AdRYPwyf0q/wGd6O9OYCw2V4b8T4jMpUeEoqpF5DzGSJi2RgjHhmQuMya
rBKkbc+AyvJNdlt2jCEnDMptNjfY80B8RHuH2S5JWTuwfXVeLYCvaJfi7FfspOalBLAGdlYaRw00
A2cKerIsjSAP/xrCbnbbIMRu0/FqmpCCGCKN/RPZwsvRYEM1slkvINJ31fTlpDGaVMbYDtPf/o6s
6NnNGSFXCdDbdGc72R6I6tKeupRjPwKHORxJq15HpRIMSFHs6y5BGHggnZH7V5eIYap9P8b6POz6
FoSoWmb8YcOyHwvAdUjGWjxoOZUbF4MNRhmdoicubmDrBInUr5h37ujh9pHuXlK7WxEVugxji++4
2/bJxdTrF8NoPeRhzds0hSHWbqIx60zce7t/9jUDHbdIF4QfYopgITJo+8Adry4rYJDDALAdjZCG
LEeqzzT8OrrdAqY5mEWktF4VnqtINVjVKcob5ASQDzd93SLx1cxViXfktQsRBRTNkTAFElXcTZDm
YJP+MSf7+o8wFZb4Z+uxawtHoCp06DUdvGi69y9DF0FGRdw6Qu1E+kqbHx0npHPXQZUmI8V0POC4
qi5DEUwPnE/ho4qEc2fzGl9rdACkdoi8f3OTPvuUf16VZH5rxvn9ceY3KZzfqWR+u6r5PTP+vHHz
u1fAfnxSFqPWRcGr2c3vqDu/reP83qbzG+z/eZmHwGoOWFa0Q+Dzro/zW8+ysaSpI+Q2y6bqnHmN
t1WdssgIIdx3D6R8XOVG7d9MyzE35Xy2GPMpM83nTeBz8ugtBqXKVtZdOiPnkkHMAEFfYfukx0Xz
hNs7O2J2x11CHMQVxI6Fg5OTzoQJtfXn00/M56Azn4iwHo0fcz4l67GN9ozmFx5m6jVOhRlxOJ+r
WhSY6+zPYdulntqNiRv+ykvqjFIfvUc7hsQeWmby0lshDQMSJAYooRLHalThgw1I8cv3tGHNNhRd
DqJu8ecSQOVqbNEjJgABuCP8+bYo5nsjjrzxtz7fJfV8qzDPKV6M+aaBacClw2+z2AeCmwjWXfbl
zrdTM99TvkzDPdylUzHfYeF8mxlca4zlAYS5UzN9MyQ8sutiuF2ZRvOi6kx/c8cOeuIYpebr6EiG
WllnEoDuDdAeR4ucxTJgAIVHzlt3gjSQKaOAMyM0T2DxCG2YYyjDMFqbpRleSiBGBKVUIBptbSe0
kBRU9HX+h52BGdkVRD/S3KDW3zSOLmvEhn/+RpAD2VJmJFdyT+N64GHKw3AJOCq9FXksPhCimMcs
5pDYQg+gXxWGTaWQtRqZKxIszCdq0Qf0rJ6/KnU0mtgoLOoSuoVlV2kJA69MgKRrJVM1pxzWfVU9
hnSbO6XZ73XOKKeDGraNJupKhP4vY8qWIhiHtaf59ziu7mkb4uxTcb2aoNtdlJ63a5eG/Ycm5lXD
Nn+2wK2u2Qw/9xGlZ6+Z1lpH5sMJC7MpqoIUY4bQTm40zEpa1GXs0aK71JE6ibaJD6EQd3a5d5dl
EtkVXrLLJWV2l+mHAJzgOu/DIWRL0VP0tGmCelcgo9CZlcB9H0ctWabVFFIVJ93aNMZTTf3BgpH/
XfFgLGPZvzmdURxyoEKbXAwQauvC3FZjWq8MfAaLBl+gGxYdu1MkwKFOuhPDVMYqev2RdvoDdSGp
QWLAxWio57IYZjpz/qSIvL+abhpu7a7rCUVG/HYK0Xut0iQoti2KpbXSDAOpjig3LvC8BZqIZtOb
vGvEa+H8hcK80Ig8XwAf+6VAY+9HI4neoin/hWSCCsIp620q3XabeURJIb7peKyiZlFlCL2AO7OB
Z9EGDXJiUwnWHVGmQ4gFCC9Ki1Knnb854F5XgUXFNIa0/KHrFy+F3/IbHula0eIQxuX1d77O2QfY
jrh2gS49N67Ij0Xr+Huz9PQde5zoXPjy2yib7J6YhBtgbdZ3ALa/6WJ+x5a4h5kwyFGKJGLZwL6U
BTlgheCzS73wu/GoKdK44WqvGpQMUw7Xdow+4Xi+qZSM6fjcskBEGBAhiJW3yShMYpHz36KZHkej
EJTCHQujtEX0r7kgM2k6gkuDUmFlxRyOhk7j0QPCXhaFXT8RQKY/kzjX0L0aXwPr8jVs3WdZpzuj
5uDCTaPojAk+FIERngJpHcmCgJBp8X5hDSVvFkPlioE0QTcOahBAkRVUzb7YhyQ+7wIVTG+xOzeZ
wUzRZv3I1zUSOmrc9hMk9SRDjWaHS9ml2tJ2GHrJNi4/yDm09kSB68dQQdQn2qW5grhrb33j5zfH
14ZPn/PnaJiV3A1zRdXPtRXuje5izfUWu2Iqr7kGI3dK7jUFucH/U51x4trP7lyyYYNCYMIn/mfL
8F+9oPr/Lu7QEAb7JUhkf1vKrD7aj//2k7fYoy4f2c///O/3n/QjDz7yj3/aZP2fr/xH5KHxl2Wa
fyeb/fs2S8q/uNmljeGJ/RfwMvZc/9hmGd5fBDtzQfESmq6L5uB/b7MM5y+XgFTyDl2irRm//Ke2
WfyJ/7zOorJyZmIHvgNSUBG6zpXX32AnUeJGjQV1bNPoLbzsONpl7WAui8DpNp6WqZ/YHXkNSXMk
9Tkbl5LQiE0fCotMDKL3PCpFfd0Lgp+xlCrnoUGzvzEmP99jXcuITk2Gi/QDcbbcgIcXXvemdX3n
uzb9YjOlAzk2cijbz4ZoYgyHOpPrRT1E4k1gPn9pKSbPVVEX9aozEXws6k53j3KYXMQQqh2Q5bMY
35GPg2oyUGBnGQmSJJ0ruBVTDSLZPbo4L96EyXAFsQgCbD4OCBb9CLmhxke1QUpMlmJW2/We4Ur8
nGfSLslCEwwgzRS+LyZb4IbLHH3fFfKljXAG1zmOe81zzrPNLN8O7Ome81rv39lCkic7SETepRf7
d7CjuAdMPUHcE1VzuA0rZsCg2iCCRRta0bVN0/6lziGXgB2NSFbXCRbp1XgxRqNH9dSor4K2/Zdm
pWzfGrJcrhCLNLI/8pQeJjWcF18HcNFalnYPE6m/aQUKNfoqCTez6tVD7wd4WLHIfs9cG7kMWGXx
jadUDgnfexcScVa49a7ozOKkY4bGaDuk+afoSnwGIc6BRY8hj2+SADp8F2GxTagzr2bmISpN5Diu
fDreFGMCe50AVOXWxBmUk0FZ7+3Qd1d9ow6FbPQ1I2aN7laFj90QYXzCcGwwPZmAg6GRJ8yim9RH
gMv2oDiezzxQXQx03S2B+dMProNUylVYe6t+aIpVohs9wTaAGqSWRS9lU0CUGDRKeEIEkf7LbJm5
Q3VlsgBtOSMSTGtRd4deoq9Tl+gHQdVx5DfKradhJgeHp//CADUdEPDDg7Xy+DzGPKh1oeQn4Pph
A76h2SeFGdI1ufeqUks0t5B14i68wZ4mrcery+fSYjocdK79ERndeIz02l4GVH8bCOMIm+rmVdfL
9yyktcVH0zPQ6V+4lbsZctLm9lp6TvRE/NquHuJbSVfchc6BqiKQbNOSPJ39AUBeqq7s2JXMemfd
NHGflMC277wH8twYmXj0EkegGmyH+JAiUn5rpO7e7TYuklUBTsfFuSDo68phxqsg4RifzEqvdgnP
1EXn40O31BJMaKK43FORYKPLCmG/5LFrX5zMtbhaq3lxmqG18CXTYFxR5aZWpJawTfWbTz3Ngvml
dL27zA1yvNuIgyJArKngoYvxFtoRrUOVsJmLfR16LVqLWzlUAcVAG0SPAxLucqlYBq7BQPbvZRSX
lyjCRjbquXMh3ICJvrL6iT8JRG7ad8ajN9+k7sSSA5EzKifSO8xngMx0j2oYP700yu4jE8t6Z4rY
/uT5jn6HAmEgc1/WJYt8NMMPw0/pg6vBRbXih0QBxnaVs/6ES76wIMdVxDjE1Zb4ReC1GaaPbUng
1TVMYuL5MhMAUu2YT0nWWKdaq0y+Sbh0t5C0n2xligoTfY3Cf8uMO7hOKjYe+joQ21gxCEShmn3F
PML8Vn3LfGmKpj2lSWNhLJyqnQvGg1lL6l7yPEN/mdZjzpDV8vWj8EvkWJUKjhC645NBTFbDD+UA
hKipTO8aLTRrHJFqhEYb8oLOJXsg8kt/tM0Bvn5JXHZIN6nkc5BmukVfONZfakJVoGfEWUnwhhVO
h2opOvcQM7fnnY8LHC6YEPA9akVC9J1CepREQAItaJI75eUXPa7xCBuao61Kay5KvdbYDfgFHkSM
5t3hxYVfj52m5h8LQ035U9NbKKnQ3OAq9q40esE5GTL3C4dhdCaFMNkYJkFNVd1CmBKZuZMt1ohk
qpJz3zO6i3Mfq0zmyCP8bn6HZiBOvlclZBDEqEplkx9hyscTWupOrXGifhoNYuHU0Gp2tDnb0bDa
CLd7jUVabnn10S8mAoSzGa60OOm/7SL6iZtSrgX5cWCVjWjZF2yOU6s6RJpdgbtx7H1uRFfYd3B/
faE9GFoud+MU5BSE/gHZA/psvDj6uk218W0sc6ZjPuGDD6ZvE/kaBFq5rm1zNeXpHff4sMmQdm6K
sHxL9dHcg5kwVqKOPmOtV+nBhC2KQZYo3ZUKbLbeOpGYm9a3+0eDcd8Zygx9SVK2l5ouU7rOr24o
d6jREHc3pBI0Q9MtyW8zLm5hngzW8+6iQOU3LUTthcT/eIW9KlB1Hk0M2O6iKedo88HxAfCHOv8K
YDPbVlZ8qBMfSbPvjMCKplDXbXTyAMMXUaHw9tbpRzam2YFxWPdupWVD9FdIuwEkpd/moVGhw7cQ
AFZtWm+nSrnsrCFULmU/dMeMTV+GGq8OGN2Rlzl1mvWTtUFPZ54hrl/bJfSbRteCdFmqDrwkYRrc
A5HZ4GJAFJuzRQbu9pUXDesl0aprlIQN6XcpgGLFJeZ5HQJVCw1J4V75sQg+CpwxvluNjqDE91pV
LA1fDS++H357PO7vkyNWlD1nJ2SwmTRV/MGBWD3i0CWvr0X8w+aS/BrwLYzSwY49xJT471pQ6etA
pgPQktpTC4JeaOpUOy4tr1ZniQr4szETQDL8xYvAoIVz0SUtMngJmKHL+rmQfb4LRMomQjYHVP7d
rYz94AX5MNPTSTm/QZWmb6q3y40pyW1duCnDs10KS3uncg/KTl/WpcsPz0Aa4VN+4w5QWwZZ/cV1
0Lygk7NfaEeSw9Bow6Ei5o7Gu9L3Zea0XEjSOU19zkjUNaNZQMtnRZTO9AUlUN9h1mhWljP5GxT+
MOcyg4ARNOEkwDyTAQtFzMFw7ahqWVp4FxpnhYMOY8+Qo8h1s27dqfrHshX1XMGjmAxibc7xnBzE
q6xV2coW2kqY44NmVdahKJS9T8qRoHoULB8O59mysSkpHBzp0drN9Q15NQU3jEluce26DwIT+4lB
m9pkZeOfc2XEi2j0mcWlebnCv7B0IlSsQd8dGRz/ZjgXRuDMfR1qEHX1d8f+3J4cVI9IivqLlyC0
yANVHdspCLcahg69UdwqXm3099av22fEuOlyiAYSH43hogdYnqTXYInCwbvye8a/DdGawG3xs452
6W0sjrJwaVnDO1/Un6JMTp9okYY1UzREjmGQn5AhW6983i4jdtFheC3LSG7KkFW/gypiB70oZLUj
5UPZc5f7XUknWvnJ1XRkemGS4D/A8HJPmZ4npz4kV28Rlolz4w31COUow/pEH5I95IHp/Ez6EDD5
9rH8DKZxceZwya5OnR8v9D3sgx5jYIIlnpjfVUfGuTbSpCqP3pGMt2eOzXRfTYlaNZX8Crre28k8
TlcBwt1La0O3t+2W+U+ck2JkcNFTF1lxeS7HCt9mHVlk4mZBA2XfKUdOD6xTwTTkCDWKbufVUuzZ
Y4+Pfhw3EzSi7lBE0l/lGjGSqIXHF2U1+XXIwrdCSP+m+2XyjpKi2sHEiRg9WFuccgzmSabYyEgY
66xGDTUC7r/Ukj3DovSDdUndtIbhhf7fExEe2cR51Wll+JhdFtEdBx71I1EKeeT88vI0ORhBzgNc
N/bJNdoSnnvQ4aZpoiB8CEwmBVknmGOV0/Dlj2mCrZ57z3fh7MINxSJPEs5pwIFDqA2LnrYPXl3N
nzMhEeExp3yv6wA5BQhgb3arZinhQkV/40YdyFSj5F3pDmErmBZXeKaBVkWzY7xUX1EEDy/xyuwQ
ExvHY933e8sxjIMcunRtNom+GrLE3ymGep6OrLuEIriX6bfqde87ILJlHxf8UZSw8BFUWn+NGmC+
tBcBesEoJaiZQQVTaKWvXYI9Njl5YOvSVvZVc9xxi/i9vqkuJ+VdFOWnzgNDJqXR7+P/xduZ7Vau
bNn1V/wDLLANkoBhwLvvpL3VS/lCKJVKksE+2AX59R7UvYZvFVAo+8Vv55xsTirFzVgx15xjwvNZ
pbb0V1x9GCea0Dh0/tQhoJssfeJ0ovsibZkXZP6ZWeHMl1LnW9hoyReXMfsItdPaEIfByRR2zYth
zOMj6yUUUcy81gel8EA8/LDf0ZBSHzw9YZxLw7wOiaIXXHq6wLqpoKCqFj24DTIk2yEMs11QTwSw
w7ES8HmaIV3XLd8vbPHZ+1TqkSdrFPtqEWrLqL9zDNqQYNVTUk8fRk+PPaV3f2FCAvMOL7oM+f3r
bq0HmG5haq8ZT80T1TloeH7x3Yz6MMbhcwD2eS2sIb2lHIlswMoJf7Mf7yZXsVhyKgqg+So/GrMa
PufBUtvQj8Sr4dnhBeJs9GUwM1GE2ZcsbJVHwo6+2G1YUMoHTaO+iM4tPvwg6pmNPO8Iq6/Z946B
GBqyK9pauZ2ah3D2tIJbbehLQ0AuW/zn4d5mEYeBkHJ4Rv0q2EVKBl8m3N9F5/Qm4gaR/wtvuPBX
bMWy15oRaVuHU3jfjXP+Dtw/3U9JlB6E7ehPUVJPv7hprRslUaRu3XJ+iA1jOGXerB+Mth2JEY3Z
sKbry95GmT8fZ5SKx7AI1WdMPQ7Rd9yMeAcw782tc/Qnt1iyX+ou6GyThCXK6bbvLJOUXFM9dF6H
/6qvBvVtzvHwbJD881ft4LZ3gnz0duzhUqzIrgUfeQsN1G/tv2lWhicXCFOMBTF1bkG82OyoOnvl
xdGtWaL3yaY2vB4z2AwnKbLtnTFNxXvvZUyus5/fSj7umKTyCmjI4N3neBZppW3nCcZXOVJ1Utjt
LfO7+spwLRcKHkl7JW1eNfAFh8cYb2TILs/Lj7Uogn1mzepJ1sywyNpZcSjs0N2E3GIu4C9IKeQs
44RpIEA7vk/gPItfXUlrdqQih3q7eZDHsYQk4rXjfCoYz05Es8b3YXaG55Ap9KG3R04TOFGvha1x
DAyW/B37PWdRNM73JIRrZ5XVZnxRrrTuyhZWSGJB4KbC0juaNVYtAt6zXbFSFN4ncBo2hkAXzE/E
4wwcrj/rN2j3PlqLJDm08jvXbLYxxFOWuS0QmSrgttsQHN+BRK3vOMfrj0RH9evggyKea5eLQUDC
Zgrs6uoE4KOFn/mngIzpipYLj4pUu8BuNDFiyQ4nxMoH5ftOKgX7sSnpi4DBu1fk1NCxx0x8kJE0
GBrwonYUY59J9DN1pnLxgvZus6U2U97QtWO+tcEnAQ3eYNLAi6dTyGrcwfk6rLVNLnygwVpEAW/X
jAIXyuEX7cEq+C6xsrU2ysiLFycnyFBlbT9sYX2I34bL/ULPknEpzAQ+OFDfRYdmRRoJX1u55qtm
vGXx/JRGMNnoouYPa2tsoxo05P9n/XcRmr8q7oicZl37P/77P4XnRUr9d/+y/ZFVH/pvNT1+U8TV
/W+D/vIz/29/8J/i7H/RVoHQisT5n6cT/id2NfX5327q8893m/w7affnV/5T1XX/zSdRABnMsy0X
zjlxg39kFHzBj5ieI+AtB4QNPKTb/6PqWkIEPuOUT4wVJfafCQXL/jdecmi6/HYUQJjh/1NAYdmF
/0swgKgDYi4E5pBuBwIU/5FyTlGFMVi9pMKvj8f2ib7KgAo4g5GWXjhxdYmk4oayqmZHpq7auWYn
IUDF3n9BZsZEusCl//VPwh8DuGLoO94SUGBvz4//i7ZseoNIjSlkdWO17WvGBnYTiTA6DnFhg45I
OQeFwCSEgBIR3KwZ4wK4lRg5tXfgP9EnD0hlX2VJ8ctLanNVMm3Q/o5mtSniyLuZHYbX2W4Ri7i1
3Sc4PYgaNMstEEfOQ9IqyGTUDh9h6qu1gdLLiRvnIBcVUyji/ITLieK2BHfyO7UTvr3rBCQDNG9Q
WKAxqZezWW1Kfv60GnuQDXT80WNtgIrtpXtfpI5xCMQyHc7Eqj+xMOR3ngOMhGq9vCc7bjZnLTo8
2pP+TWxh/mMBFebVaob7anJI2GVje2NcogtLJhn3k3isfnd+0B6Z7tQ1cTvrZFaWvRHL5RIWaHeL
qYgCW2JPiDjOKQeXhZTKKNqLmBsGfL+VdCf20dIS71YfkR0Vpv3C9snY9VwWjsQ+oxUeKxvqVmzs
+CnmXjM2bKoxUYcWgv4lNpzxOCCHgbzJKd+LGWvdpj9PnbEESlwmOdZSW79v7IzFc+nwcoarH3Xu
tEXX6569xqyZa5bqixjWGptW7x2EVLRVE+XWjjJZMbbOzJfWYK2bYFIJY7yLC7Cu/aiNt3Fshp3E
tn2wXRCWLHDTbbMsGJ1ZDX+aQgZbUWTlg4sKma7QVvq7sS7UKY0dxAZBmagm2Z6glpXGOSBdsIs1
mZTB9K8wBxPoQVlsrWdqOVntYiIhYk7qqwz3mTN1eMJFvXGTKT/QQbopo5maEVlscYMynaSsJpOI
Y6Rvy83I3fLgwMTb1J1q7uss697B5nXExQCOzHHcsd00jN/+3HB9H8rpvvCg4objsg7gsdq5mPO2
tdMWyz+JP7ECDD3qOn6bbWrtcLcM0x1iTsn/s7IeTO1YdMsN+mrW9GM1nK+bca5JoIflNV3AWEnR
z/s67rqHPPfEPs/d+YELm9w2MwVmhbMMomJOb+x3ucQB/dg6Nm5+LOQCuCXVpl7SwJssTZujpltM
m3X9mpdceMKU0Do3mmRbhsVfZ0zirTWGxXPkwlHzJ+WTCeZ375NGHAYdzhdNo8mx8rpgX3J53Drl
RDdAVfjw9A0sBMiOASauqN4oVNwDCmGwpazX1Hvfg2AES1t5u97xBu5MQvBZo2d7Y9QajasspoIi
p9w5TQlG2t7R4pq2hvM4IMCbZXuv63neh0O1ANdd2P15OWzcQVh3cZBcQ14yW8orrmZfEN4e4Sia
JRQoy0m/yIMnf4tYk4qF/b7mehFdJmukPdd3mveYt/7B6XNxooyqRjFwSfGWg0ey0BdX8u3muum9
6DEuqZe36yA9oW96h27s+y+FPv3ImzkgL1qpX3aDQmYheq9D5EviBLB1WcO4sciOgUv8iIefWKbf
E7vyZiB1mySWxYTo1vS7KMlgJwBarGH3miPmNUWysR/rmN0IoQm2Ks4amx0tb1GEVc4qld9t0PYd
POj94HRATEZB+DJ6dShQueIMR+K1vZCUAXM632euJJ33UVhB/2DYFUsL22zVawtkj367KL6KTiHg
eQJcupNMO95puPu5ZrC2KZKPmtrvYR3EhGGLZMCZqkkn7eZ6LKEVwIZxLovEcPJdvNFbpw6/J5Kk
MQUhZcPg3ZWngPDFu5uGC4K8KrjJdYScysAX+5Kc67zkY+q/aZVhuYhm1f3126ClXmPu3gvgsYda
VNcyMd4aPbZwNtkrsG6FClKm5Hvq3MIEMgluYFA63Y/czwQR0CSu3t1C4ZCWBC5Cc/SP0UhweCoK
sK92NNK1Cl+DYocmym+U7NEGUESjq49CTkN4qYvIyr4hPbX9oyUL94nQsoP8Whv1Z8tH4TOK7PK1
Yg9z18Rcd1ZRxQG9tWCK8emdMZpIVxkcUpH7Gg/DewZ+6zzhQo1AI09qLdhHkttngbI2U2dktFye
/7hWzmPJLojqiRJpU6eT+GtNtvfIUdgGx9GXuXzo2rY6dgBqn3rVMBJYvaZwHsqjdw9ypfkbs6Yw
t0nqizc64JyvaQymI1slbz/RfHWmMSL4DgtWyKvINuXBCCwQytKlnZYimubJTjxxVy4FUlmW+/sB
Y+HKbY1G0Egtmo/CFc2jy9v6CZRdc5ClMeziFjmJ9WMSEEFwA811NMLD6aX4Zltml9HFwAJnwn9l
/5gH1xaCtTwN2aMRDsFZ2hKRwc1iUMRVxFopNBvzrQpV+jF6soecUqdgJwjNdc42xZf9S5hJU14l
1XCE29KSMnaY+ywBkfthW7Chf7CQZ3ndkhShS2h8x05jvTjG6Dzh4ipOodV6Oy6q1TWireiFotfk
yFSTAa0b+C2YtUa5cUoF2EjDdmkquztbPsEVpjTjwZvsam8BjF6XLFO+/VTbu4CC8glzezS8KG3B
J89QynDBlSzMp6ywuy1eVhBBczIUlCYW9BtIa+yR9uMjRiL9O/Hh/lZqSt5iu2jv6F0s1mSWcREX
Lj4w/oLX88D5WbCyMaB7H5NCz9eeIuiNasIWrJxZGMxiwR4nLa1mJTeTtiWiV3X6DAzfWPIAI0kK
vyXDd2I1npwYZ6rNZFsyeWZsEM8uN169DhBMx32IAfeWNdSVj5PgUZiJ4q+lctQjv2rnyYn1Tr9U
phQeZbO56Z/HuJ22SUXl1aZsVfteR0grkfQmUBF2t6OpMOY4csJd2cDaqCw/39N6Gl8H0F27zuUZ
dSnTvAhjKYuKVQqFdlW734l51Kp8F2b/GXkYx53sZPvvahgde50PEYE0bbS/mS+xIliY5DYlrGr2
PVNzyxVuXoeUInsierbuK4PDcj+ZPfpsm4X7wMjkJs4W2mrkuSRT2dnB9SahVoqhucehBMkH9xk3
Twhgmo3mdEOJs6G6VrN3J1BebomXGCzUnVyeU2Cxz0MfQfKi63oPwC0/ytaTN0qvnXYLBGX6HsDB
sLInPPEWdNj+KEyW6SaUrU+shSgo21Gyl8W2KgKaxHSJLhbh/VYctcNCOApanWKBrscWCkoRI3ih
k5PQrsnHqvJS+r15L0e/sZlvs1dNV699gsFkUBNt+dEhBJ2CwYKO3KWtCuXSmr0DXzLuTmBcB9je
1u+eisWbO9otc3U7mU+8bdCG5gShc5PoNNqoLtoWQ4SYE4cUJgQ7x8/yLUNPvY+jElCA57UrG9/U
5zxGXYtK1RmnQMrPxiFJB7Q8ISo32/l3X/o4dXkrcvp37KyVdrk99FM0bWC1lXc+5gWAo4P5Ct8o
vHHANefKHN1zGBodCES733Hb55mgtfMv3rd8m1mOf9UeguOq8PsFtI/HV6e18WoIDJLLGhsTbliX
5h48DctTOFCPNJa4Cy3Ldu5VROgzDWf9ieIRPUy8xfd2bNC6wnZjVViADNgTfCu3LtYiNmFDeWBm
hEdS0PBmC1TaiBTEUECZ7tnhO7SViAg4asyKYg/f3QoOGoDyjcSaG/l3U5Inr1av7htbdLs2q9o9
PXAtoWguN5eFQnoWmfJ5kdh5f6i4Y2xC4GpHKOjTg6thX7l5SSFF/iLs4pvCvGs3BAhdVpKx7c5o
YEeHooY34GQCI1/5mAAEJc/XvGmKr2FS/RUbUIE1MoovyZwlB1gR48m3fpO8JdjauTRZZGsz1tPB
MdyEuxS0uimZip3FgURtb7w0UKQx5ouURRvMQJaMR516p2QSF1XG52xOxV3sx9YZxLYiK+eMsJtq
r97kFnkgTSNxMDYx0c1hfIZixhBNL+ya7nkW5k2WbhK4vw/xxEQbKSh6ATnKB9cqgtOAILXtLMA1
vvEjgqXy3E8+exenUhYjKG05PIbe2sc1vzU0oMXK04coF2KPN+cEQBV29Mg2M9mb/sAzPa3H0gO2
aYXpKSosSdZK6rOyPXPDigtbxIxVn3QKyXQJfhC+N3zSdZEpF/utPrhpc2hMZojZHQJ0HAGxU8j8
GKFt7qKBNJYV1ZVB/cJkbOmVNs5J3ITvWHvdPXtt6w2ctrsOMd2eaj33G8uw4rvc8Nj9jCSLkPfs
X4ETOG/gRupHJmBJuXI6vGZltFC0a4PNcO89Lmtz3pUeHYPQ1ZKLouPhLimaeWsytH1R8cIV2qod
uXK76o+TwL423O5CuOxMDZK3mczot6k5+5xpPSOYEcwynhvZG2d7GsSqJr1/MKbcP2q7D+9GMYZP
AR3PmzJusIxaDLCDXzqwAaxg4/n1xUxKkh4U/wjQ24njcos0i0c56Iw5oVSflijdTWHQuO1yxT+2
jn2gxtg4mU5KmsIau/sFunNCmn/0qmTtBQiStqvuK/utMfVdj/1nhkVjd+IjS8ZrOZrQrBP9FIRy
FxvF41SoQwTkgWMJl1ZkLfSZQr2pOHwvChDWQ/qpEDbWuaI4Pg7K5FHqnhhTJ3ixkxe4uNlo8xyD
Kg+D7Bx4SUHfpDufAawbW+AVZC6yYO9OWbXOZJIfSL2nx7HL470z9E+mQyIE2x2sppwL3jwYDYsG
xvCj6XG5mpHKv7CIV5cMwPa8TlFwN/iPjCUqfwCU5my8LqeMPSwieJV+dF76mbYGzGRYPdz0SQZL
/4LbP1oFRL8pIRmOKs9Y4/tHos1nCzsFTIJmW1up91LXfncxXd95SSXk25VigbH17ImDMSNfjsE3
IjeyDmTv7Wbo86/GGOabwOGKMgtKk2iBrs9JZQ5PtV/cMs9cyQnPfzDgprDlqSua71J76q7IJgMv
egADnBf8yazh48K93CEx1UcZgHxsWONt7ExNd7ON8Uv4tvnl8PWBgejR3/1Su++9EbAYkUFw033p
7SJzALfgQ6GOcyBWjTZ3YujWPW4Z3nnVuyMM83GIQDatbB1OD4Xp+eQ/DaF2nRfY+zEtl94Ek796
MItYEMYQk7dB/XitvAv8SncjajFCNYyCC/uYuxhcuJ6tb5gdmItpFw/DJ00Xc5o4N8IHx6JLf4+A
QaZYCRIedcUgbjdYBD0RN4fWwiPGsWmsRy8nN2sb5rbChclqbLC4ZRvpgZOL2Kp3sHyalt1hwwpz
sWYUB6C8fKD8Ystp+00A8d4oWfi0/nzwDOvsgUojeUX2exg+EPWxZWnHyY4Nx8GTsszp3okS0s72
vFaV8eqkoXctpO4+Dc+hlhHecpkxtvhcII6s28cVI4rxpEPnrnKodZAAhP2qFhesTtQ9evY7L/B4
JTDXvzqwO8EQiWkTTNZrQQxxI0Wg1rMioUm2VmG/nKruuzdbm0Uk9dgh+boV5H/gRIX4m/kQ5RIc
aLSpJmPx3IiU8ZIQKVs4yBEc4Lsiqh3EjT37sXejpvYzICewTcclOYmPq3vikt3ucheTScTeKbS6
26hyRj0nTW5J67zIKly8rWABrdxkXrRQjHzL7ldOm5J9S1PwU3aOlGe59xqc3yYAZ8SSWUYbj8Je
G2ujUFWFZcAaTm52MULzXI9pysexfOqhWMDzPkVEgA5p29+LOdRq0/Y9TQEVSc24qfQ74OiTnFso
Hlw4VkWtDxSA6n1XE7He5nqqjmkHYtbIBFAxK7EPGVTuWzMP8a84s9SaT+gnV/5nR+Xr8Yabq7ea
Pz461/OYcv2D3BsR+4lZsOvhYgi2KqUQ8w6uWnBw7VxyN+mvMavBVd9X9atjSfLREtgWxW+Bs7Xq
Wq7KblCbpp7qi+2jmHFtiHbsbsTTnIzpOjJnfUeeHoeXxON2FEL2rDl0uilDfcGNWYJSl5pvlBnv
aztKt77tT+GqqZ30BaeDe89zhkV0IllIs5aM6I6DrIzqdZwlwF1+bQsZxjWONjfFbeWYGE/N2f8C
/U//aTg+hZF8Kuwq2fu0KOxVSKzUKFG+G0/detycK5nSwpM1ItoAQQc7u6TjqmEwEF8pxbHz+lGY
AwlX5oRp9kFSmEZTHjEI0+k3jh9eNWAi4i1+FDSB3OUmPenxYppYS/qKiPDFfM8Oo3aCix/XEPXQ
hWrMX5KfR4Bm2CRlgkLVeH98pK5Vy37xRpu8fpBt3FgbLC5ch01/REmFfWPb8RswzuzSYqY9lY7Q
hO5SCXDSiNqSMMekQQJSAvNLybHDpAbBpWLSZKDKevL+nMjpbCq5Uj4gL94LmIWh+vpDfBnEdC49
abxGWA/Ax3D12LaLRZA1MG5B+8c5mFcF5oOWkcxfjIXDaOFO9mPchrDwcB7qSeAhXOyIUdxiG10s
iqaNg5G7vP3KTt07Wp1o/rYJhkYqi9vLuJgcS8MBrlJ6oIFE5eybRMk9tRgMQNZijIx/PJIDDqOF
HrFRDH+OFeKgBDLkXMLFVtkvBst8su1nXvzltce1uB9+nJiLj2Bv//gzSWrj1cwXCAaX/5qjD+Ta
5DaYAb2mRwmrFp9nIHhfrFJWyy+2FUCEwCXlT2N5k01FlZ92vyP6z3+bjlUlG9hU0Z9o8Y8yhnzI
0GMXnuHW69tnOwRqPCyCFw7mQzdP9S5jdj5rDZnE9hC+CNgMB23M5We9RGaD2pXrOo5wz1cdT9Fi
X42nbL6Z/YDByCT4srRSIptlNl4B00WgEz1XCnC21eKCDUDXr+tG+/su6V6GCYusaau31GqwaKZF
uc9sT9zPi4t2wtz8y40Dg1YefLp7x+vdZt27TrKqPS42cfScJGF4JHvKuNNXGK77MwBCyQsP7/Bk
+39Txv/F+Nptsh8PL0d2vR4WY6/14/Fl+6ypPaHlWczRrffnm4hF+JD4oAWtxRVcdfZXmQQ8jLiq
7vRiGVZyduAGT8YntoR4G1XhL4yhwUHUCXVsXuCuJ5iIvDx+nMcR/hM92IAcMEjL2j6RGChf5OJV
JvbTkCIzwMvrwDhwsQNLpfKHLmXHj88URlTTXSwG9TbAY+jMqJLbAZvAkcJJ436YdIiI4T4n7NSB
MxWsV1SGTRVEOrkDIBOl4ovP63VnOVdjbkyYGtgiyTHIkxXAVrSyLEQZEtm5K/WjZSs+nKr0oYWM
1smOwqdJd+45Kcsnkw8R0TwoJ5Qkb3WXP1e5vJ86WOaUr1Foa1N9sJozi3W9189EOEsStzYTDu/C
H2949+MTH2FonUMQwyTeFnd5NY1shy3BC9laHOhTaIg/FRavjVElYIksRSI19NpjxWO4mYIamuA0
ZzVwe0zuXdJGN7UY36dOBHdB2AF1qOWLF4sH0cKu793wE1z+OdfxJUDt3rsLUExNzkPIXHROiVmr
hr6dQr1OvXz3hgqhta0TWCn4P7IHmhCTzcyC5Ul5DoUmiz/fMSt1bhbP/kDM89WzpaBTZmSkWbz9
nSLGNlv+pklqDPFLAqDoQlJ3D3pJBhAhkCe5pAUKHQEyyv2asbtTaC+9xycgLr2L9RM2aFywzAHN
IfHgBhtNJMH6CSe43pxCh2Il2KdMCysANRwnRc5C3/RcE8lRgN1ugLqs/KCwX80mIQjhL5mIYElH
WD9BiXrJTPCbyhPM1JcuQKLKDXtX8X67C3/SFsagja85YzDjPBwf0nEejjHNFEs3Vme+e6kynrn3
O5eZR/lVL6EOjcaebLI+aa+8F0h9xDSf/hI6HL4Sv+Neh2gQDiyFMtwx5/YnO5Kkbv/q4Zi+Dj/Z
kinjm8COiVZNOKFyWs0/SZS8dsLn3BLtMdEVSZViCa2Mpu+99ImVlKQP0anK2KNRMv/JurB6y68x
DICSxrclDTPH8Ij5K0lJyeA4Tl9I+6sj6yjGuLK30x03avfg9wUpG6xdJG58nLnrcInhSL/8SkBj
0jbQfXEtJ6vTpJXcmI39lTPwsXCbEaxWBgbNY7tkfYZ/xH7+EQFa0kCTqBJGStN7L2XGZ4lUEMEh
wxHtbwe7kr9ul2RR3Q/eH8lAvpsHVxyDJYHElhVmzJJK8gZ2wmT+ul2d5t5D/xNfSvyYB6Xx+e71
S77JMCLF/imhyjBg7YPSVa4YFYdv/nb6XbmkpPwlL0UD1SMpU9aQeWSBlVscGXLxZnSLSwNlLSFW
XtD9QvfMOvixc0Q/1o7px+bhC51sfLqBf1cY6QcqEHGEtIs3xF5cIvbiFyGN41zzHxMJxUYYSkas
JQ4Wk36gUs50YlI5i/+EjeK+WRwp8Rx8lkCqKYbArcKD32xnI+yPVFLaVwibn2GLordKmWlX/Th8
YJruccvGDfT8+dYnAwTbughXvTn3xB9soApdMW+a6R2rZNbiR3ZsIOypX/HrG+slpjGWhjAAEil8
ZhK8uAfjSm3x2o8brS1/FcFXckqPW4c/qwO3QFwsUNQfsaPyru/FLx11ybSVZdDQvzioOxkgfmkk
sEcXnHYOvdRzn1k2zZTQyehhLOHWddrQH1FnfeczokMWRu61VKp4xYzJGzEjX0rGLn3ox9DZD56g
SUlBNUhXbFGAh8k5Cs8psiS3jkzK56QnAufbLHywkkNIWBe2mZ69kFJUrqWuRaqWM9nL/HU0O/pJ
T5l1IL0+7F0dckHDDckG8TiB6gLlCkZpOamBq1DGR7nZusYQQMCiMUGikkLVfTuhpgy0VGBD3sh0
HACk1M/czJhSOlftg6p27uQohx1u+cWgav9i/xadGUToEWCaXBcNF5ophaXi4dNdD1LmWxjywx3F
bN6bT2a3iM1xJ7GUHtqu8w9ZXatzPVvpLutb8zEZofCwZEDm7OqxRruZ6mbflWP0lAxa3CNX8qVI
loJ+U9JGwfN4428VKodwp5oCRdiubNdKDUWVwsp1UtNmVs7aJ6ZdFvme7Qt3QLZu+jSqkLY8d+bp
QUt9jme3vzp9fTMWGjpq3l2jO3F0c18SW8CAR2NFjBjXmN7MT1AD1Rq1la3DufrbjIJuoFGwUvEr
p/+TYx3YdUYeHZw45/9XtbW9txgUzq6pD3kxdZ/ZgI1nGw4GFr/YK9NXvr+/JruRe42IwNHFXn0V
FxbXNh1thGzfTVcme8JJlA6MVuIpTOc/MTj2d+bGdYH7rmanxyYIvgY6ljWcp5nq56Ap+49ucqab
nDgfgdGDS064GCingjvoYV6uBZV/K3bmzP8AsdLHrgka5GLZOvDtEQK6yryxa9ilI88v+JoXK/ey
PzMBt+cWl/MfNnDhxYPNBx/QqVfct4kZBPaoSt6FFt0G2qjeDRay18pqFFnI0uKpsDAAZ079awwl
/X86GvB5E7NECmZm+EID5eYBAvIa2ySnMQZRFxmUVC7jPT9iTYQJ12rXPMdFykdbdiyYDK/BumV8
REqrXyEFTwIw1EDNH27pxVDsya8IsZJrgjuKvYO7/oBnB/5K1TdvCEMfaTL/HnWYc4wL9eLYSX5M
G48gCsdp+m5x/3zrJloMeQuZ02FUzOncNairkubStM2dZROHKYUfmS4fgqmYqUgKxLWjZBxDdT4e
ALUubRtOQCKVslrc+TWFRaDFZUTz29gZpCcpSF4uOBmyxG721QMbLyoW04ouRtoP9SEw7JBVhhHs
jUbbD5VrDhcfwM6p4330iMnDWM8o/RuGdn3Lvdg92F0Xvydd6bw0WUew1MC1wrbHxMxhuJSF9os+
bmTKuqd0A93JVGA5LayJ61GRy0s9zERQioZtSkCJJlOC5USi4k1nWPbF7PNy3ZU2Jp9yFna9qQIf
kFcDDjPw27/SSrtNR/ikB7iHnUFl+by1HevZR9tfp6YV7gVv0y373eJi5PbNw3+8awW4M9ub/ftJ
NVTBpHB8BnJMUPuCMXhwWX4rrkjgUkxqHx5Z0oZPhJr0jQW2+G0HSXk2JhpR3dIcsJP7E2jrGHSB
Q3royZ3YMk4AW2Gcwz5RvZrvHNgQO5w0as9Rit8lnfprbxePmPeyi2bmOuAFpZppDF6bggKIVsKK
WDeBli8Nfp3bOGjcnWbvyleyo+wIjGDG3JQONVGSGRYVfsgyg0G+KiafBGtGEmykSaYApVBEAdE1
z7uvIxL7vVMEh7KayiNaBgVtaV3widDjyaoxzsxSoW8qn/xQFEzme1QqXB+O47wZsE/prn0JdT3e
gBOWGz/iFpeplpzL6CWbQsuHhD1hihvqQHqJz08YTudJ1iivuS7vM6zH61JlR4dx9qH0U3QDLlEX
uihIlHB5cu5qP6wO6H5fQVs/uyZwvpiFUWB4p7IpWNqYQdwfZKTN90Q1/q4lsbH3XLd4sXqfF1fH
TvpImuIETaGHYgkdJIExtEktu3nNqSi5C9oI0CGd8lRks6gGrS3a5ZVuNGviz/kubmJ5sI0UW8dS
NFGYTb0bKZGjKKifbJPegaUDwTXzB17TA4Ucbqa3nBzVjp2kee7t4btWFlpPG3uHKB2R9mh2q6FW
1R72eWc64Sdw2U7HGgxcrO+DMhoPYR/Mj1gs8+1My841Dq3yEXKmeiQbZdMUVNQfUw6GlcIcPZz1
EkxMQiv4K7QTvQ4trQ7JzKUURTpqiAm2c3NlvRS+lRRpbeq0QjVIYChkVERsPfp0jnL0qmOR+PaD
lQpgyGWLUD4nS8nN6HQ3tIHkKx/ZJ6/SuqSBESESu4MlzpNo3XcrGzXvs7lFNdTeuZ+nUK2nTOf4
tlL2CZ4bfjVR6J4YVOIvREJmCLlIUU4jH1Iu4fTwqt47Bd37IgW9mRGurFVYmd3HHAn7FXUj/cCf
Nl/RNhys0ZTVzEBPvhPDtR4nLdgcRFX+HMko2bIW4HpPtewKxKf/tPCr90nfeBDYRPI4wEuO1zUp
pFOXyOxvZTnDU8nxymJmiq70HHi0XtX0EBSddLeGjKJTT4XYrmk5a7g8l+YtJyH2gcwi7lhZ5WQ7
AvKGxQjVgo2B+1T0XMCNasqessr4LVsV7ITi/Ozz6JSAPWGd46lr3Gjr0ysHZMWMzww9Jh21QX5q
YAxSBRab2T6CgDRWyDPD40wADX1+7NUmLymwnhVCRi1DIK+hbf21ZRCdcejU0LOMnsatKSKMLRgO
dizjImztfA5HBUNlRVWWXo0+agHbqP/F3pn0Ro6sV/SvGF6bDTIYJIMLb3KepNQ8bQipVOIQnGfy
1/tkdduvutvuxlt4YcCbBh7qSalkJoPfcO+54m4omuAu8f1iHSIEeMgDEI9mQs3j0Evz+LV3deZ5
7NIiDVA4HR/dgej4qS1/gHMRnQvKWsJ6Ov3sJyX4vorUgZdeAmpd+GkyMHZgvj2jq+GIig298Uxb
Hhvhzu95GbtQaNjeNS0GQZ+Wc+kDwl2y3ZnumYa1O8ch+2iYL7P30uyaL8Q1E8Sg0LmfCQ4EK3Yx
k5HOBZcr9g+lhkHWs6JfcquCrpEZSYN94zFXmFwDMitjc76WbLBJ7Ojj9jabrRZlXNtvOj9QG9Rk
1JxhDMyf1c19A5ibjrlxdqasBF2Vgu6wmNi9f80QdXlSzPmjRvVNLdjYmzh1i33RD8F1nXT1mfAm
fYiwttPCIxSEdSoVl9z6zoFjXPXB1LRrXMiKiPs05Qz6N7RiSZKIdNpE/QAqNFXFdwfO6vpiL30F
NRiyQkEy/Oim7D8c1Fc3fR4kb9pv+mvHZunCnBYxrO7xrkQyyW//V0go/4dQ/ejWvb8UwjfN7yH9
v/7Ab4B+9xfTsgWPBJTdgEoumvpf9e/K/wVVPL/bRZcriQLgX/6T0e/94rueQ1KOyw9DWPkH1QR8
vyWQvxPn7gEk8aDu/6cF4DcYPu6B/5EX51rid8pzJX3AmLwSY2Hfk7zWhXryk/K8iHBTRUZj74Jo
LrDWgsuw1p0V2MnWLBBachvN6Y2KA+hbPkJ+fBXh1NKlQuzJllHrwQerf5C7ZuRfm/wHz8v+wfYa
jQ6zEVxNhN+kra2FZcnvk3URKOLujg8S/G7KwAYwkfT7eO/m4Tpx8uZGxrm4BQVKX8XylObSyE+j
gKxAphY7aSHvlSybJVdw2pqlVa8KRGRX6Hw2jSpXiRyStePaB6zqS6/sutVcD8D+f3jbLwfSXKti
4zFAXkndobZ1EFcUlX8VkBN23RtNuJUzODcrjo+TwOuMZ9xFANn4G6IePzlIneXQN99QgeEqKmOF
+d6ZwUwE0x4dUns7E8h50LGJ55mIkGU6WYTgWO27NxpqZ3pmvUm6knAon9dUsfs96D3ruq3Gz7lj
MWyOE+VBYly7lcdOZ4Y5G+2N0F61WfA8VvaR7vhE2N6qnbpDJq2LoxyNpFcZ32ShCIUf7c8UI34j
Ecprd9p16VQsxWA/hD7DYgbi89rRSI2I5y7YCSbPRAuPcOy9FzcxT0ltEVLqrQA91zBGxmrth5jz
VGf0R5C6Na2PdcgAhCB4lFuU4jQdaXuj6wvDdR6bbC3xLOyGUn5MAwwowlXN29l2QSZ2DqqyWnZv
WSPQ5xLCE4K/JcU9Ynt6o3HTbVEkyG913RnbtKvUOctC74hkefoCdtcvgHzbFV0rwfYojIZTHemz
aZXxlwQUs0TiCuvqEpVOejnHZZy2n6UmOJrD884CfqsRQi2t0OIJORu1faZYDzhq1Y0GqLoa3PkO
1tmt9sytEQ5wtrJ42DuEFx/jqsVMbepA3KCUrlaxM31LnWTcALl6y+yuv2oullqRziZWpkbfeV6H
SB4lEogaxeDORceVlAP7RBuMgsynY6u9s2VI567FpmudSMxKQM4i5qhW+WTErGilzrpNm1H7L410
CBFD+CnxU0nPm12Rrsx9B8GUJzurjizFXh1k7CfixOUNG4kAdKV8ZkFg5di2xHaOTs+dTfCafQVY
pGQWF64bT00h8poodpnQATFbBWlAglGYWAxwOyOPxkUe1mzBDAlreddZftkuI6FhFSdaxiWREUkN
F8XIVYuTOFOXjswswNj2hCJdOxEtNMYChAjHoIrSYaPQVVmLkNmTYv1IEPZeO6lRfJU6nn1el03R
hqT1lIBI8Dd4u4Mgh8QXgKVZQyRlOhj2plNsI9udyLJwGHGsMS3G0SbIDNV8FqKHdlxYCuuAha8T
sWblO2+mCKfnfOCO8duE+X1YqwnnqxXDDZzGCLqwGFIUTT3UtiWlJag/p0hx+lBOcbE8bSDmkGtc
2+GjTkzukJaVu4hZ7ekkz+4bjAzfB9ySEvkCjgy0KrGlb1yAoMlm7mSu1lmL0PQ60iTBH5kJRduw
H5GuCrSb6dJ0FdzxKaQD3mZdRNIPksM2/VbVRhdvfE8jaxGZCtDy9hYlke+RLQSO6M7PZ3PNFocX
7Eq9Yh/e80bLyOv2UzDWzqJiDZuC/3ANId7AxYPLxhnzPpCHJ3FKjNVVB96Bea2awc+O1Fvq4pOL
CL4w3eYBPuJD1I4vKgdO3uSEPitnqNi0RemtnVgce3GIYyTP23uyaIpN3zfqNRQVtaXdyvnNMufP
we0QNppd/hQY9ar085XRJD3z9L49uvxeQHOtaTk2R+jQZ6e27nGYQ1nkiqKiu4gBB2yZKQPh81Rj
jTUwNXbbcChbsSo89iBrkQP6OXJqP/WtHL2NG1XtfZJ5qX0XpFUfbGAhsdDANkJJmUtCXtgnjHdO
ihxxl0psHD1hlZhvPCv6ZOFvOTDMsyZaqVrGD3XBMv+NhqCtDzOqIOaqfQyur4KHacV62tHWfIyM
WhURr5csEMU+D71yOW+IgUHoNjb9TdtO8VkabDd7exyvlN3dTrqT+yByk1tFx0RTSp1ozKbHbC0d
XxvWhrelASAdApfvP4Don26noM7Sm94vio/cduBtk969D/rMAxDVqezdDWILCzC7B4+Z+HlsM1ym
yPjUR0i9+5wSyFdhWXFw5tR2FxDg1drqS8HTOJVTN3wF1JQdIk0yIx+QpVPMegaKemG7UURqHkby
r1i5iI0TIzKvdd+7dyCB3edsIPIy7mPhbXziIdKThTqeU2GK1gaJkA9FWJXhsiFfErKqKr56FNkv
QyWQvVYyImTEyZDhMtqhGY9H2lCjYPUZpo2RXSEXkA8oAqvslJej0mh6Cumy/Db6ZI3TXb14RUjs
dNL44zYpg0IcMMzKz4IEtFtXC/VgFiDi85iZH5PZwHtMa8t5mzueIGTLc0h62RS+uL3Brn0EQrBI
pxR1Bp6zlRKeuwsYiq+t0LGQFIp230uhe+SJTDIwE4MLYL9YY3pnnF6h6ZskJil/bh7HyDKumYMw
9RzDhjmTG6Yz4i0Dmf1lNZTDJuirFOCQibGO/cGUrqO0LQ5NO3ZiM9t249zWSZ++ZA00q00RhvZF
SNkHNsZsH5G/n9ekp+JJbwN0qMKo6UDAufDFZIN+yyTXmM6Oy1Li1iC0mVlmkdDDwIwl276xPSAH
JS1USER2Cg89M/RgL2JFl74Na98JT3FuuNOSlJL+1kKDEh5kOTvmaSDmgA26jxyA0URx5xfjhdaQ
GBOx1VXslE8BOvwR8TpaD5zZAqD2Otfc8mSSQ6e38MJofJ/boa38h2DM3NuEyoWpScC5D00UXLSc
7Z3vECRfiljseJ5lZ2z4SLfwr2wxkbESnPqClS0Ei1MTSNVC5rGNY4xUGkoKWoaBL0RffxvJbCR3
ZyLyuLPN62Ya2L3WwZ3JDb+sgTysW5chaZOW/YuyugqmLNmLSVMRcNEMqJPN0g0fgFRi4qK6yfmE
C0Q2kyLokAmF0ltbysTfsXIECT2X5PeAOMOMeCNQqp8V4nNkppH9KIHwVds0NgC3FK7mWM5a19UI
wpJsb6jAfgRiF/Mxw04IQZB23f0IbhBUxaToEMUcfvKY47AM6oGRXj9Edgjw3SRel/7jvbQyH0C5
md7MsripPGvcNshDIIyWQIHy2TkhZFckHzjHaiZjKBftQ+jG2lrEeXAcUFi/88BI7oH7p59lV/bb
SldWtRlsQ6NNqQNAI9KrPkMibBdFAf00TE2I833GA6ocIy+HZUGy19psSM6rbO8yA0KvR9bpSNkO
8Qe7XkOuu09GHe4KjR51WbVT8a1spm/tDyJva4FLIL/zQutFdoKEn+FUkvxNIJj8m46H3urnjsdG
7WgWODf2skjhcdlOUx/y1EgefuoBf2u1/oU89psiztvm3//1v3sZ7M6+S1gSAZLOHyy9PfEdZB0b
w94bScpjRB4mxHpU0vubt4N/+ifr8KWBu3y+FpQrk46Q//n7t2P5hmiRK3T7GXTFe3J5wrvtTEcQ
ThB4l6Oh4+9pz6yEHVom1N+8urhcrX84l399ec+2PZiYHt3tH99mPITawFnV7qHvlht0G+29UBnZ
5JfioGdqf6uqHwg4Ob3qqWDMQTUBGOVhprqQP8oMgp/SS+GRu9T983gzekWxd+2KsQoZGqCok/lC
aTaGOD03UFzIj/BmIguTqGBp45/++nP78xuiEzY9WnbTUgJf+O+v54wa1UsL0uDnuGlgSegY1Upf
xNBZ8BmD7eEYV/b+n31R23QhdlqKytT1zD98J2u8h7JnQsOLhvPJ9mxq6ZbZYXiIvamCq/pfNv3/
5pv5e5Dp5SPjxUDD8wb5TVJeRgI/tfyhbwsQXlm7H+bYWDu1+By1scnMsf2bd/XnWwDBOWWIchDv
Sdu5/PtPL4TXyiqhnuTEV+HSOoMCDXhw5pbT7f76HVl//tAgvUq6SMpEgfD4Dx9aqGOZQNhI961k
2Bx1lBTEdkbhiemH3a20sMnd8hkv+jzyhuash86WN5jzwGpQ8nU/qr/SgiWBLiaYCZW+1IfksFEr
/vWf+qdrYlmCr5bPYIfL4lxwCD9fk9CQIbhXFe8JWDG9fam69mYsRpqlf/p1bG57BwAucxBwyr9/
HbeKmioMO3LbYTKiLWXrHK/CgKzdH6/z/+Djv6Fj2L7gvvmv2+5PzGPIMu/1z1CMX3/gNyiG+sU2
uTFMdPcc3Ury6fw2FLR/4SD3hAvmwoEi9RMUQ3i/OMJE830Z1hGqeQEUNwjZon//V4aC/IQL1M5k
2+Nxb/8zQ0Hl/hFHIQgAtfGqSOfyQDGdP5wQVe+mDdZ1e1sGlnxIQjmvuinKDyM6zVVPe7ztq+w1
0hlYYaHUa8yo7YTSuKPZ4D9ym+MivooKqZ+TKIqxXs/uleWT67If5zbCYyDqiPqgdt1nMQ8ssiH0
Qp3UWDIWukVHrMEjbUOU+M+A/IqvGQz4czSjqF1Im6PE9YzxhqUe9KXGhCFeFXqDvF8cxroXd10D
Wk42eXFg9MaTA734PgRjPK4sYVw2krOQxxLC/jFJfbuh5pU5EUbBbO45SIyjmfBCkOuS/sLcYvgX
Ea77SPVcbTPHcI6uX/RvVVyicUkMpWnFvSl+CkZlPkJyHNAA2iG/2y6Q+mNexNlB5S8+/cvth306
Kw51M4YboB+ayLeklouk6eKTmSWexFPgs3otPCohtFX1rVEW2kcrG0+3PqfchmYvv8qVpAcx0b2B
1OudjN0f48AvhHbGXQBUg54f6hBFoZOxzzDQMOB6m6rraLyQOipTZWSteRIhQhjhAGvmadq77PZQ
pKHzZ2ZCH4ZLDewxcPcTJZKzTywLBUomiQrI0J7sROeg3RztLxhNHmOUCI000ANZ7xJD0+0Uvkmc
0diafLpR55P6Myu0JA3bNJQ/ubeeWrOE2maxeytMb9Pbdv05tSnTpKShv+9o+b6V2hperbZ3D0xG
YLVGTXGLe008DrivrrSjE4elDbkWG6c0E2M9Yh7A8SARJCwJRHMOrN2nHWo2n5VgXq4BntCBO4XM
DoyDvZPMk+HgtC0jSqdk1JgYw9pycUEje00fstxhrGHKiKQw+I638Wxg61TUegLjBlImE3PzucQx
DX0ItNKVUyv75FS4MEzLENDpAixtXTOLbJEPXFIF9hGmkeGzzgw7ui3t9+MpgD2TmXPw5te5Phha
ylePbfqR1jvdhaIWXKbC8q9ZfRbAJ70cB3/ZMztb5sy7wT/4dOMICDGwMHAYEN+pZrb3DfMmlptu
I9bx1Nd3Bji2jZqStTnExsopq7cSJz6cmSIjWq83nipZE53gFwdz7IwNOfDFypnkudVobdlkbADn
4cWv5XNAuEfWCfJuCq8GS+NFJ2mqAX1R9Q2beHWdufV9ReSiHzfBMrD1OvW7FkIiSIBZDueMgYvn
lHJpJW6PPs5Fpg1f+hw4eMYY6yOx2QxQmvNVhRESr/II4LZoZuDhk0d4V8IOuHar5WDaVNYyi3Bu
zm12QgfnrrkN+0dmXPkVcWO0Plh+t6lsu+6W2Bp4ZKGdkms4mwbZnqExqrcOxxSCINUayEnbMPqG
9tYkt1cJXMKFObf+AY5kFG3tjouD2jo1RvYcA38kP+SYi8IOwUWO9tAZ+HPbOmIh6ulPZq7dpiNq
caPA3vC1aEco0o7cmr00mZJX1t6qEdr3A4bmLLxkDoZzEDx6XNplh9d0MZQOcwXMaTVxbAPaJTNF
d5gnbbeZ6MGvUNOY94ocqTdlVXikRFz3x0wIDIteoG8CoYIN+TfxV4m/p0Vc7CBinFtz2gxs3dcQ
eYYRS7/HDW/33WuJoJJ0XVLVFv2s4x2oOPqwQocYfhtPXDHJJwJDE26PjbJ+kYLxYlBP2FwCqPgZ
q491KvP+3kytmmStTrOBoeMhIhQVdNPRa3H9mxsQ9F2/tNmtf4RoeFnE+7s5dI7st6dTa+r0pRZh
g4Jj3HWzNu7pRTUkHqXvJjJTzm5jzoCCCfNUeW7fVPmphCDPWGQCcgTuCPhS/8imCiIkFA2xTEav
2iPfNq7NBiLa0ebbdB7KOj3RpSf9Une+dZAEbQS+3756htZPVdwVV1xmfZvpWb61+JY0DjuT1OcK
b9A5jDDeRP1EcSjCucFRCDxhwHNOXqMS2EFnUIVD0MVr6XfHdJrlMpp7p1oY/XysjV7F7Lz56OZB
p5t0zub7YG5FvcR0rp9hcBNSW47tOYskS6w0m1GvpjOMVjdJPisddXusqHxImeHE96kM+ZZdXtuL
Y/umzWOxAQ407YRVut+sIZq2LlD7co0wG15unubdAtkOgQAS8cOJROHiYsZJt/3A476sq40FDWmD
4H24I6uH4KKWQKQtEQt6789TuA1kRPh1EKTPRt7Nj8AFxGm2sffAZ6/EoZRIqpZ5ZFv70LQ/Mbnr
lWkN+gPkb6XXM26jxxGbAxG2lB75yq9qQjdLlVwJ1UzMpThbMYG+QyCN+Rrr5DqRdXi20cBguJiD
EKXS4Ou3gfM0WerItA1ApHlxy97coqWp4vmhEBRvTLuy7mA2tQuMRfePY2J91h1wgW0cNAa6MYTC
IGXD717XhqTfoEMDeoy6cWokBidJ3hGLd1s8IdMaHpAjDO8BYQUcuqIHuam0yWIC2mn56E1J+j21
mSd1NiMpWPWsDLLWeo0SIdxdTQbLuWUgxYbe34wh8B5VYIeYkeW9+EH4cXGbcmupY4Wrdp0J7Ie9
Ee7yyro3QYESq1cAca+Ca+b81QLwZLJUHWHLOUIKwOk1N8muI0TmOBKMdN8j51oYTSe2CehMeF4J
RQdaweajTLJrppp8UJOo9wL84raC3yUWbBmSVRoDmM0dMdyGAd9p0JI8Wglv3JQ8Ux5ZpaSEVcDv
VyRx3aSeHB91OUMV1r5zoW26jAJT3AeFYzxglV2PcoqZbAp1OzQOseA4OZkHxcmzRa7Nvq+BFtd9
Xn7mdaJxZjU5yx8YzSOR0y+unU3nwHKLz54crw1iL2LFBted7hnHVzuIbRQmotnJ0IxOxBNB1emj
CohsMx9HJFxfHkLhZRk451LU8TGDz3HI2Vt+TDlDQ5T+SgTwRBtMPVNvxMc0o/2mktTjV0BAxGlG
GhwDdTXcaxxsHCTIsT6yvhYYWht1DAOj3Q7ZEN+4E3WUFQb+xmst/EeJV5IW4bPHjEnmtALJkqAZ
PzN3hlxWVtedslscomWzmiwA6KqNNRYqlHyg8Qnr7oYTRWe8SvxcnlMSqHdBybFeEEyO+URjpI9P
Uxt9MGL/LC3/jG+02WRFy95ehrF3V5Ql5s6qNK1NVBlHzsSsw6kHgiSrOFcXxTTm8dIcOmKgHL+a
jxeo9waMl3GnzMk2X4dyVt6hDxrIUm7p89kXqfyiyCq6LWYU64mHVLUdB3TkngPQ/zBnFbVfrbT/
icPJshAc8TRqZI/BMHU8YhC7+cpsjCviY507isnpkBCxuLDNBq9eHftUcxfPp2LqyhI+tJpgMeB7
eUi1Fe6yBtFMfpkDDm1ytJ3SveZEaNdOFWYn4pP6epEBxHrBYGyfREaE6pI6c76uW4UwsDQr75Vc
pe6+qEV94n5l7mAZ7bSpq6m/1QaRffjGMPFIw0JUVbo5IbEBFS7bbmyiGGDy9H4GkYa9G2DUK0aU
7GQ3GgMSvm/n2i6oULSu0KBRrGbQoEO3uMGD5hAclTWBu2gc0h+XuqrDeR3OJltpHZTRM3mcbCLK
ssU4ZUqS8DxKDKBm+0Kn2TX7TTddtU12JXrXu1WhKW0KMBvDRoKb8FNNsfURlp0CkqK9V8wo3Z5d
LzprKJjY5LMw0hECXwYgECyU7TP0Hdm5FUjqYUAN6qGZ6qhd1Gxl1yNTPUiiUGll5Wx9eC0rnCio
awlqs5YketRbTq13VFAkF4iugBgho22q0H6MMbEBIrxhi/tVMTrZBXlh7MckgIyDkNUsowul6BpV
ib/o3TJbpSxJ782hNlBN14BVnTQglySwl6nUW+PSYiAf3XEh5uUABbmgNuQvgQCSf5nslFZxaOwE
GQD4qym4aZGhEQNBXPlF9AwHHi9vFD60EVYdKw0fDcqOBe0g/rGkPdOd5xBL1BWDoGqV4f63Y4yj
NCMf7ENO2klWcKjVcvbJWvHM8K0txDHELrZgPCxWbee5q3moAJQWUbv3dIZjYLDAVbvBvArizAZp
hFteIxhcxT14KRf8McTbepOlYmWm4zubOHzM0a5Fz7FCA3CekZ7eDHZWrIkPn4HyEbZW2oGPmNe3
cNJPNRtRX9iHJG/Cu6Bk1SBJ6ViGVd+tK7Pr0MbHF7lcCVRwhvlGUWpM/Xa0HOgqgWMBiE/1ZCMa
7cg499K2PrlYzghKT7m+qgZARToOmxtb9jtpeMFTZ4nupUlydNgReUR0Yi2WVRLNvXI1i76/Tc0k
i9ZuWPpPqczGd2wLwbFx58HZ1UG5oKBxXljMQutqDbJUl9ZMgwNsworv3DIcMXbZ9rwrR3Nc8OAw
n8O8Se9bMyyRBNXSRXmh0+bgeV5LDaqamiOvL5+Bnd/brD63Zqse2lY7Rw4YFlZxqXZjWr2D9bMR
WVykAGOyxLpHzKdl9t/F1EWC6tRU12Fno70hbKnllivT10kp9yIJrMirrIP+jTsrJuW+RBCQZdE2
c0d3O048qh22dXsR+SGOczHuSGRC5KEiy1/Hoi6PVsiZzylkDk+ho9PXIvXjbey2RK5nXuM9KgoX
iVg4S0d4TVAE/n/69oNw+zfTN8t2Lklf//P4bfdeT38MHPv1Z36dwHkM0xjzmx7aN+n+PIHz5C8g
WF0TxYFi1iYvs/jfZHm2+Yti9OYyUfUYnNs/gWkZzrk2Y13fEkzfLv/yBxXeX6nyIJ8znf3HVgUh
Hho/rNoOr2KSFGX/YQCnLYHIRmMyTHpDnVlXgJamq8hgwyfJS8j365UYg3SfAyfQC78KKJpHaQN5
q/odIzAfJVoNy0HyOyDGJP4TscP2ixhy73qeTfkYO0FzNeBg2U+ZnXwUsWFj+AvHfc5/dy5pMDjw
0B5My8pq5aceZwgPLLHbaxcr/wP6M+6UGLUMBqaS1lC56YMg1mylfFMcLuX/TVPZmjIS+EMbuRlG
TpBGbhkkT6iEmkPNyvOJZ0Ryxf5zEzMMgiXi9yDZKm4tCPCLJGnNleuhiYUJLpZ2QktRpIqYitCp
CGJxixBfnZ1v4wb+jRx1urKrTq9tNWb3cVt7ix77zXXHxmWFbHelIueSauqaJ+r78sqGynEYU1Nu
HIY911L0RPZ6Wt/3rdkSu8ojO/HcHHqUbNh1Atj2mqq/S3POf7guiLBTVpy6c64Dch1Q642sTMfO
f7VqabMlznue6wJpuKj0OU3teudcKoe2LqdF2rXzu59JEq7iBMM3+6aViLDEt5DP1+RfMN+QpngM
dPnFRq10VnmLaZiduh5eCakKn9o+HF6AwjcPftAF361ZAuWWChoDGF+LNfVkYjjdoyvJmk1sR+Zr
RoRezLAEVwHRr974lkzVAIIqkPFNrvrgRCzDePQR16zrEtcLtdus4lXR+f4K2c0kl3xHDLU0sN8X
i7IjiEz1XfZlTSOOhd7C5GAW0FbqpshPdiYNJjFOdZ9OfC6yysxlE+N2G9EbzxEiB5y39pXGhQad
KG+fx8RFjqb87pkYh/iJkpfUmsq4I3eqPCb9IL6AYziLDM35uEi6Cud9QhjrrRDJZxSpNxTgwVVZ
z1CFwPYcBbneq26AnLAgw8uyLjoXnpeeVzpXfd8ld1GhLJAPzXTAFuOdsxLIsKHRbORWhOw97E89
NOT3uulQsQs57MJYQXuaSr2HXrYW4RjsCoQ24cJG3Hg7+Ko4D+0wbSbXJf0ljJzXyK5dOK1zb7x4
sRM/hWWq97kehreM7dD7ECABiOiwVkWj1HGwq2YV+8NKu85tPFrVnd2P2dLv0v4d7Uv15IygG+qi
s1/LviTJouuJv5hIL7XQdCKWkRmT2xX/1/I6bBzfpb+X4ZEEOrw6Xl2enTGmCVFl+UyAAfSsKDO7
nahQ2S3NrNSbJEjhgpoTaUSoSu+AO0HF15wOZzYVPPhQyfH3mmg30Thaw5Obxd6Bfnpa0W0VV4HX
MgRuE3GO8SVflXlHBn2EYqrpvRpJFJ1yvHTL0r3SUYgVLUhpItC+Wd+VO0G0cZ3qSiCDrwEFV7MF
xAnDZw+RBEFk0zCYxFUyPMZ1lFdby1VmuqSc197Knyx/lUEwAwFrJ4gb7Et91YGaveTId+sitc1N
h/gwRyvWmsSVI8ZTyzyJynVLGE2Ml81Q10RZVLgTOYpfPSlmQMmjO1HdOxf5DjlURrDqU4Z7GN5c
kEs1Wv0TLnGwSETLZBTKF7e90eefDeOakeo7FG+ydkZnkZdN9DoWypYLDkTsJiS5eMzjU9F5r1Mu
yfCIiFx9tJA9XCO5GF4qU8z5IWYO5C5Qvk17YzCdfNtmyibejgL1IyyIO2fVUnovHbsJtfZTVd+Y
l57ALqbLoT0EEwcj4zXUo4AWNhiMpm6rhHkpn4VvvLrRmBIUX+ALJnywQZKGej0zdxidy3ppA3O5
HtKE2OtxbO1xHQoLr1pziTveTszi2NgIp7iP3Z6KalAzrQ0FGjF29ewnYHFcN8Iw7Ij2voxM4+jV
c7bpsrKtIWFHjKWTCu+GGUJOwBmvu9cY3ImzRHGL3WfoBgl6ppkihnMGIb5m41wCeVNSh0L2zT09
rbYOTF3cvUVSTIOYKR6/asPNnzGtN9uCSVK6ZB/F8ESPVXoXay947mCrXaW+/Komo353Yv9Oghwh
vhorIp1CWribzsz8Q+d049ukerY7suvdNwltSYEV1dPedEMYWrGXspuyeu8u0GpWNyEpRMyOZGYR
renVw8ZPfN5A7UXtVqd+KxcuTf5Am5Mlj2w1xkvQWvhkInOvmOzJZkW1ag5MOOrhu6V4qtj+MLZL
pBygZmGsXhm6Jwib3Tb66zbrnD25I9z3NTfCS8lU6AEWhT4OmSfIHQSwOS6LSCLRZpzcbwMkz48d
rceVzhy0Ftowk3ido7x8AXDD3+whBjjgTZE5UmCywRcNg79DkabVM5PrTO5jbKrlMvCw65G4Rbgm
NmAAMzrngyNrE4+xYTb8gU4fpp+V0YNIBXg3X4Ov5Y5pAyt9TvK0O3KGWu+m1U7P7OoAOeYSnHng
zcklDMaWy4FfzYC+GLtXn5+/bXraoUWk/QHQtWO8VilPKDGxZiM2kYce3sZtEOf+UziPxqNZ+umt
tNHagcXA8Rq1dnZlpzmE+QLN1HcO3fYMKYmujRFE+9T3ciIEM7aLN0MX5R6DFAPdyi7teycGjAhY
ShsfORol+CXkMEIr80G9LkWgKBVYaKTvcVTO5dbo+6Reo3QmHieJi7raIlczX9qsZvSQm/l3L5Iq
e7ZgbElAIIN3lwBWDzfewMCi7hPAAa0u9I0fWeiJW5xsIOlDZzgG+J1IDUyi26GNGFbgMUVIi4AN
w2/6wWdFtzOPqnwampanQE/Mk5TWfKfryCgXGtZpvWDNcFkRlUxIDU8zqhCVYT6VyQWJgzDZI8hq
hkE7EnsV7tq49jt4TILJgO7csF0FkdOeL6hIvp6eaOKl0FHwErgjfDZ/7KHJplxVRPflU9eM7m07
xD7q9JjPPamxciDgmq/m0eRENZVs7joLcNSgAp/3bJoCx5sF6GYI42wfX6iW8Intail5wvHNcCYP
6V9nbazC6qDw9jpeJ7MJBQXRBsy4pE7OLt0ugnKVi3cQKMWTUflgKyy2BNduPXJF/FRXyEBGrlAp
y3hnjaF613FqfyOngT8rxOb9BOxv4PpGE4AJ6YXf6A4BbKSd/wQFC7X5XBkcfq241rOdXKWTE4wr
w0lnYigTZ8eTtiRXyrVY4WQJO6ptgRiVoKBRHUfZ2uQlCa9NVjEx8G8DQmPUzKgVv0hSyr6T/2cf
CLcOP9gBTNMybGb/9B/snclu5Ei6pV+lVr1jgjTSOKAbvfB5ksvlGkLShtDIeR6NT98flVm3Kwt1
C1WLu7jABQpZSGRIEfJwN/52/nO+gw59DikT26sJUuTify6N/9Klkd007rh/cmmMsreP8C39h50m
v3/xH7dH7zddd3FasEiwXN36/6EuR3Kv5DrJgW1axu9xr7/eHs3fBEgw3B22w+6Qe+R/+De4WFIq
NPs3eLs6P//p37g+4r7+u+sjBhLDMwhC4hQxDWEZfzb/CId1Efso6gSIT6wip1HUIXuY6EtMAB+8
Izmu9NB7Girpbm2NNqXM8ltKHWPqfe1KfPIYz3c8dDDY47boMi/bWgRdX8F4wtSa7JL1SptUHxU7
fITzqlmmgwrOwNbGq+uF2qbo8h93fFt/ermvtmPYOFc2DtGwRn+xPnyIadYit+xwQ+Zio7zuBmZm
eqRSw2Bwt1vq7wKweHCqlUEhYVR6lBAg/pde0D0DgPQ+E83uTCZo5W9rze82Zm7gAk/jdPwMIst/
pV6gO0xNLFbSHtvtBGp5h92F4JLQ820zVt2KWjnQQ5F7i2ViWCtAobsi1I1VpeieGiqLcYjt/WWw
qXLwYgzdi4zcCdyiPJ4Wkx+Vjz3U2q+oiuybVtfMQ+V2D1Oje7haGvdiOpVFUa8k2ybswucsj0Bu
QC2sa2fth7RyQm2M+62r1LhEcEyeG9YuBy6w7SFPxEftZ7QGJFF0ikKgjJHjNvcp/BKC8I2z1FCi
5CJInAjAOUUgwg9YIUXU5wWk1d/LkUN0MTZS++6V3d5kjDTPBU+mG/7C+TklgSq/AoAjdes8IAcQ
zHfxFLDo4Qqqu9+jhbzNHAdJLWWTcKiS2UnMucnqA6D0lNKyEplsUnjDW7xQWn5vZSJmoYmGSQWL
/gxojgeqnVZYuftiVaKqz9fuZoepu1oNpsePHggY00ErF30v+5JOFzM+Ss1/chmxVxKIAnH+tF30
DU+xdgrNl5E72K4TLu0clpPNVR6xs6xdtvk2wfhFLai7dPwG3ogjVoKZap3J8Ivlos/klpfybFD4
uyddBqbM109lq2enoZi8TwwJwePYGyyqUGWf1CjSgxv69sNA2QIP/9GruPFq3XIodXGHuqHnSKsa
WNPCAnpm1V352RDu9uZyAqMLyk1XxuI8mQCd48EeMd+kHT4Nwbs20r30MXU8Ua3ovJk2WsZr5sVU
rml13r1OMiyOmuuWV2Zm5whrwd2oQa8X5sgG2Jo502ijpXKcp6QEFcBg19NbjEGmVvFqkEm4BfWV
Pxq085xpnoPcJdk9r3UfRMuiCuPgDDsluJiTYaHOmPMiDKmWTu2h1reNOReJ+rpadtBQlg5G/g+X
BaKHtKpVO03W1gZ0igs4LrlMXfHRGOMB6my81PRhJfRW29ACfpP14FBddh9Etu0HFlKrwMjFvmRJ
SZgppJH0b87qf2BrNedT7W9FM049GAic0wbJWQ7hWVT7G7sptQcOMXWOAy4TIlz0dKGy1aEqI+Tt
mJcnRnyxHDISn03+nAKKCtd0xNVnC8wPUBufZpN26gnBZGG3ysM8PXr9XBVAsiI5ETHJn4sKQb+h
vttEyA5pzWvbGu4yE2Jy9X4+z8nPZ9uEfkWjMZ8Le48/zTwMUhEyHXr6ktewvJLXf/6jO7Nh8E8/
OxZwz5otsBKPCw+fvzvxldYiJCaBvjVkwOqNlussMe81d3wlEhIvjCLpltIJqpNTd9TKEPgli0dw
nXdDXYLf0wJZG2s5hTAX1OQTpBFyWNVx2n8xKQYPYTaqvVMNO4vJrzKnalyKrn51m5aSZSZeYrsH
kQp3mSTRR1WNxZL3VnYZIdPuEUzpG1cp4TuKYQ8CvABZ/qQHoVVTspT3tWkv9URvAYkmYukPNAf0
NvBZ6Y3ZpXMG75WcRf6qep06WBugnCB0eZYBhrY0AI0bDka2LdrBeSbz4+/tzPQvKov6K/9KAfDU
Rc+xYdLJ0A9USHqtu54yW26Hrpy2hT2wO4QUtg9CLECLgQqgTdCK4F6RCegXw4SVjD/2gACZhJvE
8owtAQwbZiXAmNQkVMozCKtH3fj1UysoggoASjwx4nsrSgWtb1v3glXUJskRygg98aWMj1zaAnvZ
NUI+aa0Ut97kavdmMwjAP17As8XViy8aOMYnG9vWk3SK/EKTUn1xYdUd9CkzdqZhhSe/0usdyuU+
gwHY9uHcolm38F+asYUVZiCQDcNwNw5ZcoaChz+TbskIXBOqbKo6uMmqqu87Qe4G0YFBl/6sd4st
1EPhWwVt0+lj2MZUqLSTBGXXNlP2munlcDPhwjxNdQvdPWzGY07i6JTB2cTrlEYnR9Jdtagd19zU
RqzATme0c+p1X54cegBv0RHKOxtRm2WyEaidzFjvSQwp67omfuphP7p0Q1jc2NhFVyGMh3nRWx5g
UAHKnE+RtPIZV5w9YT0ck/ktgNJ7TGaLakgz4rvqZmxsbQsZjRgQj4ml4qhq5jMrsDm9/PkcMwMj
BO2gad/ufML181mX1uRPhlosLDaeJIpSuZ1+Dsbu55DkpLDgEHNy1vMZ6tYh50waiYmDINRb0CGc
t9im8sdxPoNrYY2HfCg4c0sBES736SQXg+JEp1TuSkFhcZx0o3uViFurgpAil/Na4K+cHwzx/IyA
uUWoOTVw3iXzM6TC6q7tHASiCPbH/AjSvRKJ3NNUi3ZoVM6D0gt525Sp5a/gFnqfaGbUGLmFkcht
o7v1QetLHIXzc7KDK7rCH8ITNC8D930oY8mjgve0yXMqKo8ATnrOUMjju8InF+aDJY1W9c8jnUQ8
f7EAU0NsI1G/MfACwDxs+CtyfqYGNQ8QNJri3mWkcH+GC9xl4JM7R67Cee7QGR99L6yWFDvhv/FT
111DGx6PWWpQYuBp496XODoB6WS4k8pw1WMV2MddRzU1ja80mPWetczHohvnm15yI0UT7822gAcQ
ZOJXWNCHRT7fvebK8LNF3YTNBqnd+6qmUlxGNL2PPu36S9So6FHDWnLvIyY1q0DvnD1uQA38MWBm
VsZWxGXTG/AjQig/25rZ7Wpw8zfMdFhdBmJAc+pSyEtGuvdQ+mV2brue+GY5OPU7m+hnHf1zRcvN
LGyBZYTF7Rpbl1v0gxPwg2NLEftaK8FuhRgjyeujY8EGJa1lJpZ2kVNh7h17BB0TF/aFwJlcRg6P
Lu6dxUMJzIQSdZ1eJlOLqAzI6Kcg19u79LAYZbdMvTFubuwSyoLdDx7Y/kh/H72p+zCLvOQ1xvOH
2YgP2mYYyPktbNSuuU6dl1GhYG+JGPMpJqoTHXCHoDfVrnbwqn7YgT+nm91BgJtDYGQsKjvA4arp
L8boXiYiPw+4LrEMFBqcJ+AxB7hDwCsHy7XvQiWS19gENE08XZoLs87a9wAt6bXs2matO1a69orE
3/JL3nWye+vZfbFus9w+itLjza85bcqjXI/utGrGfZlp0ZANZwqcC3asy1zH5pPTXkob61RR2jNX
4UsXGtpnW9AkyJloaiscxKzFo7ZazyGT56JJrEOvmu4GagpeUQM1eSBAyxdTqeuIMOEHmCGMLgP7
mvUMbXeeffB06xuH2jtVv6SYxyzlguQX+d6ppcunHSPJIo+r4Iryr7acPAzWfqI/xbC/qcHIngyr
FM9WZXS7vkvLX4OU8S+/0esvfPH4XAk87vp2esWj+mTa9LKwJ5P2XlrFjbCH2xgFm6F/7JYd8PU1
YMcp42OFb3qt9zDo0Y/pOMR8YpV712557vqJPKDpmbupLeO1AQ3vJdJ4n+qTJY7joHUkZmz/AyOV
tQ1sNx6g189j/ZSPDMojZo0xtD67LvS3nlVpGxt32Smqs+iIOy1Qxy7XiitsIvEQcn8Zl1Extl99
wiJwaSaNe8qrnNOmD8z4Hugci4lpRr3FwDw3Di0KrDxY5XhxSaBf86UdrRyvtvmuNEukUU/PllPW
B4Hfis9Pw8/ep/6eLHR8hCXRzqxi9m3QPiEkcB25Tewm3OXYbtdULzTkGyjVFT7V8wQQ1X70PLGN
JL//qKfOc8YkGGGZUd4NrYEKjzmUVNPonNewiowt5RYxBeRa0i2yVPGprZVucw0FerAoiwZOWvPC
du5mcvTvWb9Y94ZvvLW95tyyseXxWD404H6Q5IADXUVQqwzAWzR9xuyUFmboPmVtzlDd8WyfRG6s
hr4etq5e0bUTmuNWn7uWIlaYTwDBKBqBFRRiU4UIGqEFwskW5V3p+BkeWFbWGkQot31AnpgebAKe
5TLRQSCRKTzhR2JvSFohvaR5IW7wn2EhnEGwrJAEUNCIBmALzHC+9RxPuyc1Yl5MIx++reTdp0I+
H8oRKGIwhTakcmXt5pZn1hr5TYa6R00xRVoNLdeYueItZTYVp4jgjjE22iqTnwp7RLzxiNljA1Fg
+wbPMVYlO8l2QEZmIDy2ApqE3j27yWsxXVVIO56FolflIv6OZXBOkizH0lLqd470qxfeXzy8WCzd
DoRGjmmYl8/Q6tkHRCkqBFBBDQIrn+iXSTbDo5155ouv01Bvs0hatnpj7Rtk8gNPgvBkp9Qc46OE
l+yntKZoDUNFHOzbOkZedCJqAEAx3LHJta/0u6hXGlgnQHtBtq8nC95MbFtUbgC6oHkCOhnPU2d8
RvbDM5kDFpsTr+GOvpuMbiNVrS3kXRbI3ngvOr/cSg3PKhAua0MwMt5ZZG8JHzHJ0huu1n1kjDtm
SB03UOFSKV6bun+RaV7uraobN0HaWeuElobHOmLy63Gn4fHvqPu0am8XpGkIZSZSxIB9GAT8GTDM
BLibetxpz1Wv5g3qGARLCgEpa+QQXQBXmTb9/MAFlMYyzkgeU02VBxK93RZ/GwNZAnuWwhXu/Hgv
Hog1NOupKwucTAQ0FixnytlX44hlm2oDgJ8m4ROY5DoHNqyefml3fLL4oxTL1sv4ir6lZF75ufmk
8qhhBT03GQS5uQsTTgjfzKifb4mqA8vIdrlA5W5htS0MN6HhK8YWuYLJMSyDhAKeLmE9bPj+Tc7e
IvfCd4kwEyf6PiBNaoT+sc5YNokEF3ZXhKj4AHJDIEnrVE7qgMKXrxgfrtzLl8JLB17bbIRCqPnZ
TYj3b5kNvbNCJ5jW0SipfBMRFVM4JNNj6EqHl8A39kNdGNB++piBocm/Qx8fvj0QCnRNpS1Boxn0
mftsyXPIzZ8iLZKXPLLqlDSq8K+woD0SQHZ64a7SHi3IunsMcihL7HXNpxh25hKWffmS2TNAvEyL
IwGRmPtfGe9KVi873YzSrdXX1SkH4bdrIvhwgCBhmTrQ4yxvYikaG1s+YeZjy3Xt0mqYNnM2ueso
Q/sIsT8YOlbsNk6OhZCHsdkpl9ezy70XXCJLFofuVeS9h0DuxE8k7K19laTpyYkaYvJ8BKmMBLds
2kP3u7r9nyKtxD+6CsNudNkW6x7twH+XsBziXPi+ZbpbCuWbNYZa+6MOejhFlcxdD4Ig91/43AHx
9xzXbc16CVtjWGoQTRP1btP/VBNkkOFawUpitzDrlWg6YKs6Mk3ULYWTRdTpR+HUCQvBfx0RCFVh
u4eIbBEAS26I2vK/RLX/b8RVI6vrkTz8z/X4w1uWdX/5X29Z+b//cnxrwiyq/zZR+cfX/yHJ0yY+
M9aYbwzLkqjef41UOkQqZyig6+g2/2e7vCH+KsnL3wzTk1SMI79DQJt1/D8ilab4TTjkiZHyLeLS
Nhr6vyHJW/afQ9cau0MWRzoB/T+LUrnoAqNDRKYBlQ0ipPSBQJ5u0TDURf25tBK7WM/NgdHC0EAm
LrrGStZs36ujGqmhAfpRbajulWc7h36uK1qoUmieu3RuMtRaH32q1AKD5B59OisGRTbzPpnGqmjV
PiMMs0hZa/0CHtxsHS6p66bSwx2bweoW6H/yK6h9lgEORTDZPC8NXZocvYCGi3waGELmuSrLw/qA
nELri+FFb7DcyKaBeolW/s9Y1swTmjvPask8tfVUUSyKn1FumKe64mfAc0i+n6YuwG6CkaT9Cn6G
QVRJ8dDOE2Krqkgdq6oHukZV26kUo7bx3cLfKsZLK54guLk2IyduIUbwRCQDjXiUuxXzdAr3uWd5
zcRaxX25AlQ8vbA0j9foB+bOmGfcxAkVVeqYAo9N0OA69n6firtMn/eFGSx/2GSLUKRkF4F0HCXO
zncL/w6yR6mtXOhwy/hnBp+n8SLOk1/oHOWvIKJHV5+ndocrgbPUJUnZaJ7upzn2Bs48qj86aDsH
s8NMvmUMTnRQKBieB/oXiwU9FtqDpmXOeDNZDsuSqUu9bwRZ2ET47uaZRauPNi7ZN62MEgDEVu8t
taxt15Ge6it/ivkuUUllEQmUul1jl9F2ORLNmt2usZpSCqXC+VcSoMcYT22MuCJDZ9/VwN/CStRm
+UTwlceY68HpeUQcdGG69wJLDJgGah5TPWOXbCVucJvZjrn3siq8SMFoaZQ1pZxFWQzguLS6wHvS
heriQ+rjGMQqZfEtxaXmj/jWkRxGZNTw9eWKoiFautqReQo3so/xTVCsmtX70NLUJgsN/1uVNn+m
BucaViADbvbS4K0Srv2hElfHbvw3zuPERavW+MdoCHS9CCd36CmPQbyiYsWP2malI4rdFUJQ+k3D
Gkz3bsJ3IrD5XCMrDb6xEwLK8IuSFVCE00EWBjfntK5bHlXDxK3Cc9MOgLCr6Z9oR+pt4v76aPLb
ylWhGea3ji7ARzqQ0OEgfzQUkJmurvH5aUpIFT3sUPTw3DVXKRML+LBUFMVq7GlG9SR9nxuhOa51
CSOszCsezAHNbvFoz1p9B3kJd4+8JwCQDAuz1KCztrLJxTo2KnduY+v0r0FVxV5rI4Oah2wKyOQF
OUgWTfflwQAo0yAied41HccPQf5wr4xCflj5lO4A4bTXMZDo4x3o0IlK4gsvCqqK4Zbj06jFwRtP
U0rFbBDMpfJbdC1g0IvUhjDlJJ5gJ9Vk/KxTSNcC4w9/TyP2riNjLE9WqeqopwnK68r1gBa7Yz2I
RC1KLI89hda1QJlaja3GFt6Jwvdoiof3wAfmb1e+Ok/IIZcob7RDq2R2gQ+HtSCotTnzYijrVauV
yS3eManMyohYnOCE6XjICrq+/Bg8dqgDiYdntxws7xXLSrlmNrZPU889w+2o5oqA854g0ctX1wqg
0OezjkK1Mruxds7wlQ5nD06PpF8aiYG5qmcI3GPGKg5Y7koK/JgYolXrCP8Ux864UzadoGGNTkor
g+ufZGPQS1trOrUGpN0amrjTVn9j3+Q92mYHSqlpvCuYzTuVA4UKxhHgiOXmG6m5CnaR7MoHW/be
MStTGtgtK/ooRGhhVJoUt/pO35JpTKnyM6O1bCjiNqci2YlIk6sU/itxmWpY8VGv18V8pue0pq6q
ltyJTdPiSxo0MKgiGlu2kpUclr80OmucezcZFJFbr4HZFkq/X9FB01wl5/ylCnradaFYjMu+S6ot
rF/rYndW8mA0WvhlkOFioRQl/bpzhXecIHzvdE+Pdl0uh21uBdoB3QbfxCDygqsgu9hVOWTxTSCz
IVnTuD69BxpNmHGSRdeM2XWPH+qOSgPiKZyW+GaxWIkXntveEfYW93UplX036SwJST3D36s8PTu4
baNyCLvtiLxShN9xnARX7l3+gyixC/PpQKcJBhBtWlNTqYbv5W2gp/EX1w/iP/pEKXWksp1l4cuF
ImBo5AQxby+ifnDustF0Tmk92ZR5TsOprzULFzBsbALKhn+A94O3TA8GjEVRtAlCItlEjAPszEbb
bhwtTq/SgZcZwValx6gM6y/kryg8C6ef3jTMfmw8sQwLcv6FXMZg405EC4NloHzcdthpTiTq+xfR
BPGGLQ9+Hp5i297LivmMd8OSOx2INzAPOctbszxPrk1YYfIq8WX2RY7DhOMXnx1Cv+5O06Lq3ObD
n1xIbFMuNv1QaYfJnbqvDM1yLiDs7+uAx9DCsSTcK0TLA9zz5A2oMrjI3BPBbUAiE7WdduhNJUFh
BXQ37rvOsngalE53dAbDOPYZe0JP0zvyLnG0pQeEk07ja/aREbBqq/zxEruhvaXrKT40tlvxarbV
oz/kNMLyOKGzSNHtOBbNdZA161PXdx6a2KMyuh9QsuiAXblILkfqKc8s9HPC8BodKROYBTKbtnPy
eK6+/5cM6Dd0CRRN8d3+n5mx8lGUnH9B2P7fP/8rcYE/ECwzWeRP/7L+8brcdV+1un41wFX/OpfO
v/Jf/Y9/+fpXHDNARvR/OqFfujx+43X6/bvtP0GR/P4l/zGUe6BnTB2LimvYP1mK3zknDOUI/qaH
kYrBmBUYc/Ffh3LxmzQo7fKwG8A/EX+DOfF+kxb5Cr5QOvBOdPHvzOQgmP9uaco4bkvQP5h4JP+z
/u6mGAQBQMxc5Nuu65tdbSTdWx7ZmBAor7uYqdYch4rixFSziiOleyGSRB7s6xFxkegyXlzQR09u
ruSnV7OJge0FNsHQLWwHVBtrSR6uuSmCWpTSPxCdxNs4Tm8clJeCLYrZQYiwx+yImXOmAbsE8Qo6
1+l/OWPwqJf9FD2Jwvr0LQoigHwckobSGcFqZCJAmYybikDlUgk3WkexYzymMmIOIiCeHswJ/kGZ
qOk2N5zsg8odfR6f7XcVITXx+w23pae0jbC0oCL5aAVPjAUoQ+yGlpbq2PF4fvIKWCSFS87vSutW
AFgD9eyz180ebakIflkMOnstLygdtrl8VHl2x3xavCUqpKDTUBlChzvedjgZGNMxsC/oOzfG2XXc
XUJmkR0VnfmxCIbuqrJGjks7Z6HGxlEAw6Phth7H+yg2g3MTWgMI+b7YMiZfBJSBRyIYwVeVRvVz
ZA8WdbQ4aAvCNHjcK6pKaqa5DBzmfU8ykyNYPeG6rqiUj4x7M6nkvuO1PsJUjnBAuvnTQDnENsLV
hXpO+Je3BjVtVfw2VGV0JmGAvwTN1/AW1J7395ZHltopwy/f8gkNRmzXm86unu1I+chTqvyg2+9b
xcqd0KvHX6EoqU2WB/ZWlK2WhnHXcwlYR26cXHAteM+WPZYnQ5XW0czq+cSc0k8r0RHLkho/Y0NN
0VnlpnbOpxL8h2558qMEtbMlVZPtmzEkmRjWw4E1lY9xO692DnZjWvhcKBO5Jm4q5Xz59dEQz+yx
9TX9Jt59o4GiSanaWRGMc7hXxMxoU6CQ++hiyXEnGWg/hFqTsxdOALS0ST0KytducfPWTCJF9cuA
HXNOFRndQO/1kxIVXTNUkSzx1g8r7J50jnDrQUEf8GbTq1s2Oz0EYYmC3y5Szf7G7Y3/vnPadSUq
b2NDwuaKKMZ9iwPibHvOI+0Q1cpLZLuJ8EBtiK86D16i9RvWk+mbHWokDxrC5ex3NJ9NT2Cs45pN
QgXWZjNR0rEcVVcsNUWpvM36Flhy1PGIVNVNZhegEqrO2aaxnu0zsiD5WG8zM+cpR5zmxnd9ix4d
Ksdbm6z2WG6ngFxqRuo59qkNUKjVooBuoLaGBSs6kKO7KDs9uUMSh4zIZLFNyExYIEnZjdT2FpJm
fsSJ774k0agAoul5T51GNVztvHyx7Ow9nwKsGM2pyZ0PQvH2ZcJovitJSLJOz3wOn/k7svI3gWmS
ey2n69BYV5fhlE1E3a4qJud7Gn+gGw6wTcinVsR1s09TFuc6mgAbtMRhjc7WrgW7ALak3N50I5m2
dWLrt8jM7ZKmFwMSUtAeCsws664tna8Wl8/GLkju1J3Jh0l3jLUPVO0epySv6mgJDg9vXDZ9Xy0L
/DfctFL6dgxqQqH4leOvgJ0nWIeYO03SsInlanYYKWteOrgNt30Rqz3DzhgsjKbBOzMF05Z803Rx
g0luAgdhw5873JSvIAli+6NnQVJbPuUe+snst/cq6uh9B6uj6qyt6CRdLeT9gB8YYcWvLmCM1Lqx
zPSWYCq9879UrgFhKZLy1HoD5opqpEE2HdxdyNLnfZB5exxCQRzOS/QrH3I8M1FIDCAd5p6IUQzm
o/27mD3r2smPxA0kwz03oB64CES4IOI+Zqfk28Hn6GWP5lARKVfRVktpkOWFgEFcOCseGPK5z7W7
rhnOKuInZ0cGajjHJD7r8Ixv8XM9i/NZ6sbLWDFGFkXsrvw69YhUcC1Zm3VIHGLW9x3uS2Su0Pzb
XHIFIliW0InEJRXtACfCglXhqYvpF6e5j6QPdRvxxN4U0ON9PvXjUf6sEyQJlXvqPaNV1g2fCcVE
u4Gc/opkwU2YR3dsMawV/SPjZnKp6YkaAnUACSZoOewuSA6N93LeZ4y+Wa27bOq/vKC9C3vnMbZL
Wiq5tVAem5T05ZEJwa/uZziqe9vHIjQvT3TEAlZH9ZalDGrEvF4h9C2vup32R747/Rc98bPghU7f
5ZhGD6bpnEUWrElnDcssDbJ104JxJWyuLcN5ncNFLD6MRWLtmQSrpc9P/kvOC6AG3OoqqgCd8JTY
kTAo7wOUl62qOl9SzTqvj7J5kzTOO6Vq3i5BDi6PBfvnr8xDE+adOz8GsQOk8z6qkRR4OxOXu8am
qjQbu7XNDosszpmr6WwHms5GFtwU+Eh4zHIhZVHMDsyj6RFZJ+ZQHQ39gBgYYElsTuaoltm8OGNh
aHDLMLc0om5rY770V7EJIhMBbmVM7b7OBgyLLuXTlkuNWBp/GY0CrW7nCa9i2oj63uSadCrdLwdw
0TeUSf9M8RXMIV+KIxAjdn39z96vKIb2jbLt+gvrvbsiu51ejJ+FoQLVy+Mt7idIWawWk58to6cS
ZKEhjao71ePVV6Wsb0AzhCtJIkIuIqH0J46emHZsfGZNlbOlF2rY6vOKc3IpXOiGmiZZisXvtSQc
uWqrKdvaXHvCFc66hzKkqrahHsDVuBovuJw8qQiQUlkwoqDWf6XlOD6U4L+511FWRiMoT2+61b07
GvmeRqe/FHnPIi8Pz2hzG7tzywX5wGcwt48ElZoFtHzzzpAeFIJ578tjj4XLzzJYzXvheN4QF4wV
RL4/oAhtzSLYTU10bGkrJgXYsW6ycsD6VoY8O+cw1tyYednjdQFLY2Po2Glkd1Gafk308IMH2tNQ
958NcKhqHOS5nFXfwLCAYcUl712F2iQmpjB6iyRXUFrhJ3VDslxf+k1mrUxlVWdfhptU+kFI/AVM
nxdaHb2EKM0UESA6w1ynG0Pq5gPHr3tSP3chltHWmhE+J0jF1GmFZ71IoqM2L2a55Jq7CjfzHVOc
ui/idNqQu5cXw4WOn8Wf7IZ53oxWd+z4iwaN1N1QCEi0MyQN1szlbLIRqG+l6dFeRd2aYbKrNNE8
l0WtvcXKLneqYilE2nSWjCry+yh1IFPscVVMoTw1g29cGL+rg+v0YofIGOCWiCG6jNULaqLz1Puc
fyziQ/aHSkN2a1v3Wldueev5hrEd4uLNTTEQSZp+1wNPn8VIVUOlIeM0Vftc2fVb1RdyFQliWipD
y2iT+ODrhvZLRpn7nEM2X0dVqD3mVr3K7BJ3sFQRbhpeuq+RrR+bTIMAqFLBknArjmxwXc3BZtu1
aytgNUTIdubQ2ryoWXCiY6S8OC4PqQBUkNnm3a8ybKuTjNz6BSsKzeayAs9d25XGwWOGSwEcB6xb
hXoT094bqsxfDoGH0QLtbTlJS27LvvMfYa1Xd3ogXGqAK/9q1iUmJdi1e2aw4Uo1bf6L2oOGTq7B
WmjoJVehZfRVRG36WWSGs8XAkn97ZekDeIHN5lZM0CUWjBO7jWmuzMizt0hE4Un2UywXxuCKY6Gr
6J6utZQKCLuKnhoWfRy1AG5YXQdnIwVtFpiZfjYcxecalwegwKbZ+7ODUXfy4DXHU7fwBV7tQRuy
T3bW3llzS/mkDENbdO1gL9DIMFKAM70mVZzeF8MoDoPrAuOIjajnpRcs0rkJUE1FUXjTzA/XPLxr
YgscjQwZ2JrmCX+KtdOacaCGvfeX9lDlZwu+zDHTpbMmKPdFTypBVXQYe5OnaoZam/4mmWwXE1Nt
UrOZmdcBOZwqaqM6Bk1sM3/akpIriXQoebxNWeB9la0vVh4XwH2oCAXbQRSdEa8jsgfUj7RWXh0K
9lU8NSxoUHnlGqyIL4k24AwOmMzdCB5ZpBnQ04UXn8VU32Z6KNjCS8Qtp0XWmigWx1Ho7VvHME9y
qJNvflDgLhSZHdlzIMbAkYekk6pv6U8fLdnFhavjxC4HN1gZ9YiE5RmkxXrEnIyI3NEPg3OfQDmr
DO9GlCpZEXPtcenK6FekxWo1TMAt4HEuI4gXN2UHE05O8SbXM7g9ohmO8yWf9Fr+VQ14Flxo5EXr
KcLssHhLOBtPYQh8c+Fg+FyFfOZWaU+0E8EsX3VdbZwsRrBlJUT+GDDA+9zl+qdAl/ZCq/T7WAX+
xvI3BOC2BmUYB5IRd5jqV04wcLgoRnJd37AHU9gvp2rTBsTETTXexlbzztuTzPiYxeeu6KdZkG7Q
Pys6boB3b+vJMKmH1nN0f5M3aopLEGeHfdul4csU6ueA83MN9ECfZ4NoU1SahjtCE2vuef7OjbN0
RRVKfdeXdM/ihq12feNNa03O6rNs6D3v6Vur+sy97SZlbZvJqQgvBze9Y+o4FWodyjOLkYFIMEd7
mEANo7vEx105eeIXa4rlaLkwTmki6VNaSZZFqSUUlMldWJwS12UvHfTDKeMoZIOjjf19Q23eS0an
Cbw+FikESfJJo52YduSFHlZgSfU+vstqQ7uOWD5ajCpU1MGjwsTKmCn7c5El/4+6M1tu3Fiz9auc
BzhwAAkkErg5FyQ4SKQmatYNQiWVMM8znr4/yNW7rfJ2+fiiI7ojHLHDu6wiRBLIzPWv9a38Mm5j
A6NZXl+WWsoxF6M3wemE6MSM6yRYG5r71Jmz/yAMTCYVBZn8OtHE+TTLsYtT2WjssNa0O1UG9qnO
x2QpTe/O5FTIkzla1q7rRf1m16T+vMUy+lwUbvs2ZmSum7LkZux5ePLWuLTHGAVw597Zuxho4QlZ
lHQWDVFAUVu4guCv9Jg/bluYBpckP7AyGznN6uQ2r0w+0xtmVVzM7LQPgRi+l2ksNpyEMCLqvXHF
rC06p8DJXVvm0rFAGJ1KgFwzrlhtjU0Gm5sjBwj1adKOWsyMNYG7t8WZSA+BUWmrNDWIPQti/mzT
IVxdEkZVtyodtY2biYENd5Fd6JRmixpRWQ8gRJV9EO0ppUrO3dqkP7Et7kY7ea0Xc/UEhCgeovcE
kumZqiiNwCO/ZvgL98IcHxsOPw73MKPw6aJzpxdGrNp5BGr35r9F0vzf5DmwrUVq/GvPweF7/Zq+
/lHRRLdcfuSHoqkwE0AMIV0H8tBWBo6BH4qmhaJpOg5DETRF6xMO80PRNMRvSncM5VpM/RTgZjTV
HzYD5zeEx0VsMQR/18J9/ieSprB/ljRp6bZRTXkakUo0OXt9tRu4HQTbJDGgoPj0Bvps3lddgSV/
jQO0O+YxTZ2+3omDzYxor2dw+7ECJOma53WJf0lrH63B0vH64Hd7ssuaxLeu58UZhe1UYLlOgkpZ
YdWmrLN3rvSwtZ2z3raH6MgCVLxZs+wOyBZufd5hjanXXRF1/Tag5TBa089jJ4Ch0E5XTVRSKBSj
GHshh7R3glkywzbl2KbnmHE9rFryORzY+3HMqadI1D1oijjZwOcYj5Jz4GFuqrojoaXbj9U8iEdf
UfXShNpwRd6JQ3o/g3m0c56uveHQuRslITBZBrku9aNQ4pp8oI871XRkkt7Krf6cgmgMEgOOCGZj
Uyhu9XygkS0BeZqSCZypkWdp4kYfJHsX2uMoIroKFYyQjQypX1iTacSQ2xBCGK7sHgDUUdgWdcXC
x7zF+SQBNICPcKSLRAW1vo7irPyooAseRadFeJ2jqT4WU6xLcoioLmsbiHi4soZ4uh1mUi+IW+zA
tm07pi2WvJaMycAghezbUCZvCU7BktFulxbexIlNJ0YOIUCPmvgq0Xx3zydj3elO3MN2ZbbqF5N7
LQAGt2wH4nrcNI1e3AvTZEoyx9noc+gCwFbWox6Qya7HB71M1E1S6fabPjqMGzvsT4RHu5G3xgkc
vMZDbKebjo3/Y9VF3aMTSIvQDpADZ+3wAOzWllLVIc460oJhBhM2dpBZsURifzmzxjacFgzqSGKL
V+DIqHNQ6zrTPAEiKPYyqKIbTjxtseqBB78ZeojrvgrFpCi1F8MlgaUQ/4qJbI3Z4ruVhxAF/Fmy
9/F7d+Qt8Gf3zOqXLU0lI+F75IsM/jvDfqkULo1VZuu0Tg+zmyFHZ1ZpbQeiMWzzRo3SCaRxX/c6
25p7trMQPCpyrvVKN+3mvAETnHiM9+mI5gQCrkYv6+7DNuaRkcAsc59eaQ5Da8ACA4d4p+q28NUd
pndm7t9kPbLXsvUatgnHfjA0ocuGdMqnkpS6gN5WpXby3kVgL8+cTNPXuS8perXTuMiJqyI5wUQz
2+zWdSPHa1SH/ZEdQyY0sWqsOn4o6aVOVYfloqsHQMqMT8uDjujK19Hep7QrM6dt9PghF4O+s/Jp
3qjImo+B26SHKezFlmJvv1pHyaCGi8nNW+OGAvLioR5wpveUSBqypz/KNbGSn1tult8GYbxp0wYs
HW1rzUxOiW9KBVHyQu8cpOGWotyBFyBNt9J9LSq/mRBUjqIn17GGDgLCVRN+Mj0wvSGDX01oCjB3
6PJNtky+8WhQzBYTssjiJPrma1V4Grrc/pagzuFhZ2oYng1YiuerKEFsWxvcMt3WlSWBG/bCIzwW
AmGmc2YThJivzKCb5guNAr2HdmpVAg4CoP22G60JBKkMRQeRoJ14zK/8JnS0JX5LZgCF5rUYy0Pe
ODGeHOwME1RdpmLmGpEe86+U/Lar/ysZuuhd2ZF8y8byuhF9uzNK4Dv/Lcv2X04iv8wl/1ct7twt
goj4rxb4c3oZkvA1f/+6xv/rJ39f5x0aWCXeP/zszA1/Nw3+vs47nw0NIMIgzXyC3v5zbinkb8JR
Dj+AHYZWV/lf+X5h/MbaLlyAbujNEjfhP1nl1U91J8xLXRrgKVbQ+essCa3u6yrPczQGQjthKuRo
Xq/TjoazFUQAEq1NJzvG+dK3H8G/66nX1DbRg7JJsHQFU4102zQM0FZ+WfW3Aw4IzmSylVus2NmF
M3btFmh0eyoGrCe5UWB1l9nsIqen0T7sivzABWX0ABTDfnA7m+eAdIbxaJM8OpRBkUdXsusCfLYk
ZCNvyZaFh5reCOxKhEtPVt7SQMCEHtSFVItHbaz0HPqWwiBBtAYCEMcZyQoE+ASnspvLHhKBH5/6
TlZ72D0KiXPMn2RejO66843unV/OWCckvGlXCMzuTjW2pFxNo8xyNWSGvxskQsYaq/lQrAbO8Vts
on2wrc2KuzeaB6vwGgLTl1FrsJYmYWVlHse+WT8XiQ8wGX92C9uF6YfaM2k19b01x3nO4daCyupC
niTXEubaSwH9lxEh8sGx8Iv4taK34diQWtZXlIWp6DAKpc+ek05tvs5MVdteUtegc4redyBnFt1z
irMRYlDXFt/FrFGvwFRZA+JUlkd/jgg2DjhcVq1EEMEs6kLQkZhZANuK4VqbNY7FZp29mVmI0zIB
M5NupmrQnprKwhSBxtYUOwuF7VoT0i89Afo7J7TX03buF316V5hpP61Q3duaDZtdFusmdYwPuySN
uMYCmT7PqkUY6QCtEDlZ4D1RVFNYGpZ1jdleLYbJztfcgxERMzTKvMdg2FTX5YTyFfZ1vSedV53C
2NFRnCPJSYe9BpWmDNM3iczKV71px0sOqBBqpmoSHHcVtQh1Kzac+sq1OyIvYXOCFjCzOO5aZtE0
8xoUYgfJ+IiSPV3oQc5SL5PmYSyL6JFxLc4gc3YGNiGOQ7CnnW+NYhyv84A5odWOcODJ9l3FRAaY
TIEqs0qifUhnlHnwd+04yjWebwyAI5oWJcvKdS9ouKRhBgtNYyurRhcUC2nIPwdKVexFFrrb3LTz
ndTD7KEm17WGAobjy8pYedEnGrdEFjj0YGhwGGYM72qo5ie3lyYwHH7ToUNwj5yoOVSYhz2fs/U9
sYeSfEQ3niMegr9Qc79mP0ZQ0J4IrxoZO5MVKYHg2pDGfGOK3vGmPB6v+K6buxIobumFBUhdh6Tz
DTMaAb5eGrdzMMwPGm29+1SRYt0OcaXoZhjL/IH0jHikTRiTaNF2H13IVkIZ8ozEQre3Ev7uWPeJ
EDRJa19PIqueK5E1NzkYudfB9WFKVIIZoYg6tiwh4Hs4xp0kOsMzhQYRktKbwZxmctO2eB1mQEoE
BBrrXghw/1afJjCP+uzbiPB05ZAVf4lDrdmEGVq319tNf+LQRZFvGRlnUVak76rxGYeRBxTI+pqc
rmKF0XHl6nH5AXjCeFi+CHfmrOYPgh1D6TmDnt7Pla5upmy8VsAw+9UYMq1g4TYGfk+NoTbhduPZ
NEmE7jprzMmk0cd+ybSpO594Rpz8MQq+ZyGmJEAU4/SYuDncioZH896khTKgitc3P5jmzzGfvFnB
L0qEfddhK6PuoYMTPacyONVZkL/atcXd33cMoQswn9c6nDWxLlFiYH45nH9E0BrrYKYucGSI5nGM
WmDA/rgRyHx4dvkO1PXEDMESKDoWx49zYCHsiOq0xhGcG2AN08lBM0Q27ijCMlPcEwk3SWmDiVw7
rWhO0FGqHXE9cEU9HJTbOK6ijU0x25keu/aB9KF/ClLLevaX3pJ8aTDRhuZWL7PxCA8Pq2HJme0G
uzilJ8XSf9J/VqEwwe3OkrFmemBowOANYzKP9tKfkmJewQi/tKokkn4VV3DS5fmw1K5AIp9vBht3
H9bGlpiuHqV3YR/IF8GZd9P3VEUbnAZvzKXTJbJc+5gKsCV4MzKABx28v2Tpgcnyadr3xYgjPK61
mptsqYyhy5AutJYUEXUdESWW8Abd6oJbQdyjWBc3oEyCg2h7+xyvQ/bK/Ml91VKz2+E05JoHk/Ya
fH1qOxaRuOsNLKB4cNTGIQlzDOq6fAv8YHh1y5g+nMCULaiEz54ciBM1OhARxRVSPElVI//wG1yN
HBCUs+80YPd9ZWqTJySW8dbntBgPJO2LpaSnn3AMrtRS3dMuJT7hUuejqaXZp/5s+Yk+G3+c0q3w
cPB4WVW/dwIN/fAKuw2XdpiRKQpb6oMWk1F3hQ0qpGLvs2EIpFx+4S+1Q/lSQFQDWlwSNE19kxdL
Q1GzlBUZn71FCd66Y953FYvXUmzUNFQcqaXsKGRcBkvPjMU7CDkyXproBiZXphkd3M++JCF6/d5W
afTAmk2fUv3ZraRcapZySeFSCnB8h/Dh3rthzbgYiMVSTB/T0pRwcj5QdkR3U9Q3+Z2ZV0v6YSl3
AtqlW4cwn8zHotSZKY2yPosaG4cX9univG+G6tASQzuNuiM4r4TJlgAFLvOlWGrGLHs95w1viMtD
d8WQt32UblV8wIabH+GY27t0qapqmFl68ezkJ9evLAAbJmDyyW7sx/az5aodTLZDQAbpzIzr0r6I
lkqs1K+Sx2KpyWLDRmMWKB7oDFXjpke6P51nyuoo14rsJ92izJ2OgNETGj0G0VLGxTDLWipxmVR/
kqXdT8p0rgBOx7CB8025YKjDBUidB0ij4pNSHYu6PACZczchxkp9lSxAazGm4Tn+BfqiF9y1aCub
MaO2jXAFUFgSgwun+7B/mT5Z2VFi2esUCP+zM9ULS7sDq10vgG3zd9a2AXbblwC4O9h0NRujjb7A
uQ2zwVpXOnuS5QlTHRDeRuvcIaDXu8Htb40F811bab3rrRqKj+rhFMxxL3Uq5htELGTv9Dbia/KI
ej1ibO3nfUR8IsMtDFxcfHLGu0/mON2NbbDJTWE9uU07fSuhcUWriac6pMqU6RzLj990DGxLP6T/
io2OHqSK7oAS8gbV0sxZmq5MnyOQ4ryJbo99XbB87vxYGKjgHZ6tKedOdYvJ94pJ0yj6ju5SPVDX
C3nqLqJATFsXJnH9zmIabADyIAUA//97KTP9jhGjuY/TiaW3COptoIfWmiyzeTfQB81bvsX4gMWo
kRcNtrYjbllrM2ALA0BIVkXlIUYlA8MhdqTgunHa0tNs41JlkXFJsayPyVwfbigjj44JZq1tokVa
iBWMNZbxvgjlWuEG93q/EFvQXvGlMY71EdMW3mtoDjLbZ0nQXtToXc2q5jjzIHtJOmNuC5qWBH4Z
+wD4q33ocPc6HkJ+QHdUzgR+nih5UIOIMTeyS9waVZ5CmdJoJ1hJgZOLriL3kllpeB2oFmckDJeJ
8Pc0zudO3VdPjW3Y9w55FUK3CqA8Rj/7obELecPDzrBW9FiEz9zA+tbEUsQWWiOIwD2T36p5DHA8
ypoSXlBaFEKVDrFwLfxwUeKAiAzADLyE/eZZDr4KhwaeITiLqm30PW0tYms2ZhPuyeub+RZjlqF5
HdxRne42UVHsrFPHQ6wyMNdW16hoA9xEijUBX+1V06zmNqc2BU4Ke3avpKbhikBL91wom5ZlYrT5
RecoHKJk7tdNjIQAL7Rf6oHt9JneEU5ooQUI+6rJabRZdVWVSk+GdI9B9vCBDcK6pDdYR84y92Np
WOw0+SpjfBEuwmfHQadXvotDU/FVXWddtczhU0hDXplPQDbs2XhsGs0Kdq2tOwd3GoZxHYsgui80
J5tusqKeiP/GhfWBFZ7CnxIzzrT19VYFK105oCDTgC/HVWsu0M40LWBlgsGfWfRSF2+mM524Z4YV
NSGE/GlhYK/B0//Qhv2+7rL8gF5oPfJYkicbHAiRfN/FVDu1t+OUNAm7qfkR1g5F5m5I6prHLx60
mtQS1JnKpgLpn0skf6VsfJE/7oqMf76asz8N12//cm7/pY7yxeD9P8PRzRDCxub81/OP42vShK/v
w/fv5ReB5Pef+zEEsX4zxBKuULZp8DVfxiM/hiACMKKh27rlSAd398Kp+s8hiMEQhDZSNBP0ESar
XMZ/DUFsYyHek8EEic6g+J/IIz9xwNBGXPAASumGbbPdNZaM6R85YLIY/LA2c8BsQ3buZvhWBxI+
QVa/tCSdV8Q0gWwvhsS62/lOsICx9AdAb/qxaPonc4ifu7KGHjov2MK+w8bRXrPVIO9tGwsQXYuw
LjU0Ncr0qXWwAulu8sQODAl0OqcQmhxbZ3N6KzXMG/HVHz6Nf0M5+4p2/PzlHBPCmY4CREe69dMv
F+spi/dUWNQTxR5NugDcP/K6vNZttf5nr2TxSUps+67BPxbB2q9vY6DVrMqgurzGIF3IViumL2xq
C88oA+/XL2UuaLY/otsAoZGbAQbAQIP/WTz/f/zISEwNmUbcxMvt/k35lYI6lz+203LgcY0zjN/B
OrV7qsQqu/RU3zVr3bZ6WryqEMDx0O7nrtwhxjzzX93leXahScGoX9ZPgTYcClu9itCzkH09aRff
6hHXQmkSt8WAcZysgPQKaMqtb+pkuijiYSWgq7CnJM/So8EL/enV7ufnqope2AhwXEhox/r1e2As
n9xP7wGFvZSt2kiH0hA/Idx8qUJ285rrFdjlQ0ALRjZSZR+2tDDBVimeyswmFtTDzsNLunCarT57
p1v++68v5POFvl6IMgxTmNRjWIiMxk8XMoXjGGQB+fe0RYYzqorIm6aenKBZOpHSN5r9DlZMZixN
D3VH3ZqcbhDo1I5sYrrKXHFjdvXtArShAGBHpu51joOXbKIdKpWnv7nYPw08bZsklANdSVdqEWS/
fnPy2AHAApx+o+sziAOYCUof7lhbbyvNviB7e9d0xRnn1f1MpUtU6Q80HNSrzkI7IVBdz7DmyFMo
tkccwEM6V+27oaT359fX+adPl7wKgrIg7sKtJHnSfb1OBlfKxr2ueX2U3lJ3V21JmpEpGMarYZmZ
+g0G0XhYzMo40Sh1e+mr+XbK6k2H3Pfri1nekz9+wD9dy2cu5g+gRN0ujTRVtC/51MSPGAwTCoco
YlqhrqNv/d3LfT6Tfn49ClVgM/JJ4QT/6QulzIWTDu0SvxsTQsiYEBPa2usyqhAm69Zgh0UxaVZ4
fcFGtcpUdG2H0xlz6Bc1QQaJ6ZTaBEOWkjHLn9igA0mmjjRu7uaIuDosyRQh2B3hukU3LkNGjynP
SjPnIwlAax/bnHJLI6/WdS/YyhcGTsDuwJAfTTiX2cayqmNaacHWJ7i2Kt2m2beOPm0KSQBaZnQS
izowN605X//6g/j6MFcMCeiSEdAFWKsM9Tm4+PLYM/W0KVo+CKLryAXBNi4vRwyNSXbx6xcSf75N
oB+YLIrMNFh/FwfCH19JzlB9GReGGzNWgPmT77k0kIwcKllnl4Z0twkf43G4tar5rO2mkzmJZ9/B
Cts3/ktNxiWXzXug5lWuJ/s6JbTf1hdjke5+fZ3Wn7+aX6+T/cMfr1P3XejjSK9Ql+zjZAxbCEkU
VMTZk88CvVJ6D9i97CPgQmGzSsf8oh7LCcxT9RTM1J7gPNcuYdlTBTxW5p54YX+BXJF5MT7KPQAQ
fxdUtnU+E2Z+6BD+cQ62l33BPNYqO+SvllYOTZSwiV1e2NZ7ovPzRDVGZYmVNkzUqFZRtgGL3JFk
LR7HNn71wxIecjlML5PsHgQ+fY/C2P4jI/iNr5Ujnt9VwYHGmnlLOuvh1+/Zn79E7Hakxa6HZRqa
xfLR/+FuTlqX7YaZu14gfbCuCQ/Bfh2ZHFdLsf31S/1p8AS6etlzKI424K0xmnx9rTHWq64xC9fr
xWySZpofYdOah7KmzwAKp7VKK7I4+XTRBB+BQhMuzKZcCZcFdmiL2psnAzdsLOtrw53+5uKW1/76
lFGM5LhrwXhwN/287UvjnnZdRjQejrzzCe1JakhA93/zDvy8U1ng3TrDPKDGhsK089M7UIsk6KhH
DwjfhytnXOLeMko8X0KYjsLFd9GdhqAsX9NK3sfDdCMbE9h2wRDYyultmzNE/zrKN6oZr4n1h8dU
Y7ZU08b9NxuKf3elNoNIuXwtBBajr59Vi96cjjLyPccueKpEkDlijNAh1piA0D9GXLXV8dE4oBR/
/SYtuckvnwTJTWETJyRfyYjy54cNiMZ2LoLC94AkPfiD4hFDbtctPDMXJ3pI1uSR/uYljX/3mrYB
Oh2zFuuM/OlzcbNJt1QioShX/g7LA9ztqBzPSyxZnojY2mfdW0gNbBVar3Fkv4pZUJKofWtJ565D
rSgunTH/iGFbGIXCmHP367fE+tMD2BFspl02uArQO3fR109j1DAw6qLVPPhHXkSLii/9rR9zu1Al
Q0QUpYbJKr2iowBoFp53s/2CCjxuaa1+rqu5XEERO4mh/8Dmt81GfRv0eAy0JLoGT74rAYKtZLEM
VYo3m/V2o7pg25OiPyv447m0hnM6H2i3Y441jV21TWTzfUKM6ibr2WhoW5rybV8nWysAhd6b6M+/
fgfUssp/+VY4wubYotjkcu/QpvH1HcijCLOYESqPRqA7kckbguZ7lffaqizHFDwl5TCNDC/KMUjp
TuX/YUwFUy9tNm3QnNp6OGFiYTHQwAwjRBK9qlngFcVhtG0okJNe5kLeMEzErGbpqySd51VUU9eD
jVkyS2i2sEj4+P4rLNKcWbFz25sUdonowghML0nBb8asBqh73qBjLMIS8h4uQJlOVJc1qdieCzX0
7CpNx+MYx8eEWSFdJ/K1b1tPYzq0ivNh17b2BW1Su4ozyGakpBNNn+51C01yM+ITLzTdWOmDwRg3
G6mCJcobWjjzR1tb8UfnQpZvA6XHRfqkZtrQ2u9/81H86ZMw2S5za3K0W5BJPz0ZOjsn7llRDGqK
dTXvpWIesq9QaYsfW78f0fTr3z/e36vt/qWH/PSv/+//Q0H5KyXmf6KAgn7CpuWvBZSL1/dwev0/
1/Xr+/cm/KKh/P6jPwwm4jckEo699Drp2AUdbod/GUl1LARslx3OC8ZyFv4hoQj7t0/LKY8R9oos
cVzIDwkFhwkrEg4THrosgkgv/0RCQXv5eSMGRNxGbIVXy8lcNxczyx93FRHe7nFO5ma7QOstj/BA
uAM6H17hjUItka3x6FSBA+wPofMYIcca50DWKZweIkieloiu6griJiecyXpniXTv5rx1ofUVgbCP
wNa78CFgkZiAYhXOEuQRuN+wvo+aqa8IkpwqynzulYR90YZdf1Xm+sMcgzZalflwF8kyuwvmPH/v
pDKvaj2L9wLv3bk9z+EZKcnuOkvGlKm/ktDIm7TNaG8PiXq2YqK4FkI10+g2nw9ISEyj6s6ZbtzO
x/zA8pAWmEGrUz7a2Xzq3QYl3w7n7LaEk9F7cVT3t5lRUBY1WwMRTpfYCwZIS4T9mQjSvlqRMSnf
Nc3pEHqrHGOKmWFGO1LE67oULAulNhPI4PpmmpLy3WLeG+0Cd0z6B80I3PdinsdvswE6ei9qtwI0
rzAlBvGg2dvIdesUxR/w4JV0VD6cz5rsP1oa2Fjn8VS+pKIz7gpbZLB0fedGWBOw8zhmWGSaoFe0
sNRJDjrQAIC69memDaNihcWAmGEa2jogo7FEPetromox4es1LsUEp/uk31lNET13mN/fu0qr30a9
UZec1yZFeV/VUmoxBNYaE8dwYPPU7hDFASajymc73hXLWLcSy3zaVL1LnL7k2dPD8QqMNjjCW8iS
l5kvxwkhXMMaqOdkHyEnwpVKQUXOgZuuSn8KVzzUgmhddsRFwaiHXmfif5RWIpbO80Gda2UcHK08
eesyvi1IPAkA9qwAkEJ45dZpGDDRvZGs9JTfu3N8ex1rs8EsyBqLV32Z1TSMvz6CNHMeqXbgS27Q
V22+hKWyVxB/+jUmym8mC/rKDXptH48y8JjjRzs9ntvQazM3OthtdlrwJuMqr8lMyUneLALGc12n
0UUwMIfcpNMc7qpWOW91RtEhQFYtfcJm20E5ExKCO/ktYhbKEhQLdYj/yWe9CQGCMI3L8wYewI6Q
ekWDGxSfI42CdIfn+QlIL2yBwrBQX+JWrPCc3jGn759rS0F5LHu+72iiBKf7Hl/YFsqaY+51P5tf
6cLswkdMCyF1uGMIDjIP7Zj2C+y5w5kOQQ4kfjdTtFJkekRsEPpEwJG5D5+aIRrZXxhBix3HVP14
rCb2HwRaBtibTFjNcAvuTlRstwbjqoFHqrAb1PYzVgwQ2xiIleZDmuisR8sEJXwprSast4Qqwm4L
3cuQntU3Ylqj3ppyO0zjpHvxyAe9otEFs8/KFEE+XlqVCroLWOugxo2KWP8tXXpWfgqdIWGUp9AL
H1u+XQ6DjZS1l0webSLRQDHNOp9crCIl4Ko9lVvtnR6n8syRblDdJk0xORumiG78fein8kgYB/HX
RFSk/W020oeaCyUBX8TJ93Ro3RoTvl+XqzKpQFIFUlGcZuhzTpGqo+EHpyIRrFI2px+1G1draJ1D
sAGplzRnfDNB3ZVA9rD11dZNTQr8Ms+lfLe1MRd71FqXxIol62+mm9a0voVJtZR1YS2P+CMeEqO4
z6Ea3uNlm6nmTAxrC3ss2Eu9rNjxOvBLlcTpsJ7poRUcYGiiwfpGOeeKByTj0I6azWLNr5h5WLlA
DiWhCYoiHRNU2Tivh+ceotlFn8j8sVDxhPdbDtNlNwjMILXpjquajd2G51CgQeRzh71ttMNF71bu
NSNBMglOjEUq1uzxRo7UY1j4jE5Q0pizDa0EdJTkQXHmVwKPAeQrQBbVRMa2ZXIltbq6owfAfMxa
e9gatYmnMHftsy4aghYXNAG0zajpAM4DzuCmJsZ4E0Ta0sPuzN1Onzr3WBattobmi8Ev4XiwCq28
vNLaonvVzXF8iTjPPjShkZzZkFq3et37J1bLyNlVhmruCiMev1VtZL0L1xjuBiLX217mty6PJcDg
lXLxKPXFbYxbCMfPHJbnFRU6+o6gSLAHlm96WdPDa4LxCrnCantzLXEyh1sn7ekxbVL7OYAaXDGG
zJtDYk/Ohwt2d5VHHCYRSvR93LbZi1IZXakFRplhr4vO3KQ9EeoUaOw+y/qCRoV4uJRNZRYLE9KI
t5PBL9zqgfEda5x27KilJmWaB0Z5nDKTuV1Tz8V9lQ6pogUzY+3K+9I6K62uP9BJzCSwgFUnIVC1
0Ytk9nnTd5N5EVeJe0XkC/MDtYRvLM31kUqZ5pkpPkPaAarZOUbF4JDhF+FaYJ2dpDnWpyyid2nV
wjS84lraF+Dp+kNiNDbRFaprTkLh4Y4gLdJGZ6tto+LvtiNS/CIzxjE/i1rSal3+rM84K0fZUvtQ
t3JXCAs6dgGvBn7bdUjDxiU7FwJwbp49TQZBmMrVovAsLyziLkZXbxL8JtxvajQ9A8fVjV4uLvyM
gNWN0WlzeUsfhHYurKJ+EUbOFyygqp6m0KLKHA+kbz9ARG7ab3bVWy+NU/Y3I0B48wweZPJEdDkI
riarTbkZYyv/VgxN++bjtiQMMxYkThpaIWPeVeJjHNx6RXvz1OQ8X1J1XjqtFlKIhz66mkK4cOsF
XkToUVOq9+oCRoSk2I+SCL+VN1YMOVkODU9mPlwDhl+Tt1RUUNO55qcz0NoBB8+SStjdNA/thyxc
zpJJz7/rZth9yKHtz6hGKI+DXatziS//JikIT64aNVGvKtM+vgcyk+/CKmsOUejrO932gd/XwOFX
ZAJofERjDvHGNiw2E29OsyA+uMI+5A8X1re7r+OsibflZM6vlZvHRAhHc3qNJs1/a5tRWeRRetoK
AsfCLSfGKUyuDdqHDnzwREYEPw50KaNQaEXUJr+qUJlPbExDDyuewHEUOUHJvC6d+bKCM98JNy5e
XPxg3G9mPmxJdIBl8BOcpC3muOe8aO1gTQYnB2Ek5cHyOSqaXddser/uajZ4mn8IChxUyMkyOVNc
0gbi2TytcbMWj60TVG8wCEkmm4WSl1EoOd26BLDoG57GY92U+V3hUreCO6+Ql4VD0TVzwqg5y6k7
Mze4cYtrnvqTV9fKnfdsdoqSZKsf3FOiuTx3Bh6TjaAnm1wlhKTaZ9PkTcBIM46PU/XiRDFLDU3a
81WdVdLyStjkr21byI0KCeeDT0uSK5PuegvXWGYkBMoZBEKHhD7a1uQ41w2dAffB3Lp3kDsTZ81J
YL6MplDf47jGzYvmZT3pruzD24S+6+vKCs0UrKzpvLfsLVvAE/rkbxtWZuy1kzwP0wIbRZS1zh5L
jNauiSiTuwh4z/Z6RAmYbFs6raRRqxvoj5paOfkgbhm2ll5pB91DOLfRLYq0cz1MAfu2UFbNTSpa
2W91F4A7WxJNp54Wdx4e2j6wb3vbja4AU2CLpBZpuiKdnbwRKzJPVcmDem9DbADjokl7g7dFe+eJ
F29Zn+0t9aLx94Xz47EVkvdEhgpjiynMPundYAOfj1W0dkNgQyjqiCQowu55aBfqOQHbd53ptfat
cLL4Vp/COjqIps0Wm4P6IGYQlUey6ASz50YC4yHt9DAP47RPZ1gmqpQJ7E8V6kgcqo/zrR3W0+RF
OU+hfVVlNrCEWLuHg5H2m7Qpm53eyvaQQSPHCQS6al1RULAxpq7u1rlIU/A22RCuLQzdj7NDHrAI
Y7RyNSmyz8CWx21iFFBvigRLvRZE9WbIAyzqQaOfGVn3NOot3RFBEVGSOiFa5aJ68Qt9OUzZdPGE
pGYiyqNYuwLrJhr+g70z2Y1cSbP0qzRqzwTnYVEbp49y1xCaFRtCCsU1zqQZaZyevj96ZhZuZldW
o4FGoxvo7cUNRUhy0n77zznfAeDk0fgArnbGZm/y8to4RvpqF1a4cRV+Zz6FpJ666I8mcI+d76jT
hCdyJ8O+3LuocoeQyh8KXefkd2K03b1rN7z/ZiovNmridkjH1aGpqBwaGRFIVE2DfyeipnnAjZue
JBbvvTUb9dHqKAyQItC/xqJvfwTGjH5B2/bA7BI0zy5n394Px+6IG0z8ZJzp4iZKH7OaV3On+YfO
C3ifkZQSPrQmoayJLqo2UqjFQncXbeMBWuvUtmM2/uL20LMyhO++4SQuqKwe++9Ckmra5WNJyW1O
O3kubVLvtfT7m5EPSGwYszorCS3ebcBNRJRhfS6h/F5ag9mK5p71OOU21qY1dVazUjezYS/gEAU7
vTTlVpvNjnmLmabewYZ2YvK/OH4FCS1MwP6PvjLnMJbYus6AKPqLCRv4hP9e5tvQU+a9t3jo6Ubu
X5wmeeZj/wMC3HmYNNboEfxrAAgmpN4UME8Bzdwaow2/ziGOCoGwJpc8vU2plS5gEOnytXGm9M0U
fkQTSEXQMqrliw9e6TNri+nBX2zsdybV4Lfz4gdH38bl1iRIuQdz6oClm/m0fKCS3WM/VvcFkbtD
0vVHzR6PCVBD4jXx2YJuVUlMiYL3DrBy+GqX7rZKS3nuyrzaSms1CgFdFl92lJhAPSEDhXpq9vSu
hbcMest5wKu65gP1U5Xydzuh9LYoj3ov8RZKPqJA6aulsu9wC4zPfcBsPmNpx43Fhv5DJqF301v2
sKsrWvz62em+wjoT+zIKYCVFyfiUCK/kntObe4hmnG7EgPaOYflvYS2pBqZhSQzbQQ2LuWMaeWCH
GMhdNUgaYhptVTtpSI8ajkLXNEnZAUVMoyXTGDM4vUq94bQ/+4rhaZsaevgD+bYPngMxhVNs2XXN
zaRno91zmnwr26Cyq6At+ZgvWf1zEor1hHZsbGJwR1vxUIGVeU2yoWH8LipwhI7904bydG/npfWN
Qa2xNoVbVgQz+T2cNLebPf5cLhL47LLXYqXU0HBBj+NT23Z1fZyEDHek/Pt2F5ZyeR/S1qPyRg6n
iZYz7guTU4MNgnBwXBckn8IzrN1QLETs3GHyh9hxe86wvu6NJ1BFAI3GwY05X9qntAz6T5uWLRA2
VnW0veynypv07JDEqHcl0IytObJn4V5XWlsyz96zDOaesCvpoluBk4/Vaq2oaLY7ewkASVWOsXcA
G9OKNUIuesXXbpuQ9IwIQmGyIg4DcSEYsM8AEfGD6CO9kPczl26TD5H5R2tO+i7EpPlmTlVApHd2
4DYWfZC/Z3Wmbtjg1KQCc+lkrLSm8sYIcqd6HtfUCZnJgao04gXduUknbL0LSJcdXtYxntlKHHon
+IgqWUU7dEoLtC8rdd5ImUkDneUtt1w61U+SAEtDTRMZ00LAueJqZjzDGg4vhr90MSMk9gZoFz95
5DJ1xyvfd89SV/m9lTjurzLX4RubGYD0nEdM0q13qIuyvfOiln5YJTDCZqRoL5Nc25ejtPzOjdZI
jpL6L9JlqSqg+i0OqLsCQy0wGMXCADa1Tfmc346U4GHhHm9RHLr1WqgF+4hSduApyCu4W97remTt
L9ZC8a4ByQ7TniBxRrCCcThPZ6JFZgW6veMmllOINoflYQgGc6sKrw9iV7X63UnkOiqjknDmYDF/
LlgHenHCxhJA4VjyXyuqR+K04oO54Zwu/BvpVe4nRkZ6Uuihn+JinCHkGhxRM3ohhlOKDm/GqF0T
pFb75ldW+L7QEzEBo0yNhyakjjnuaJ/o4tHpZmwLOM33GTjEE5N4uR+WljR9MuuO6x21oRh48r6F
Tp6G4qcr5/ZQ+9rH/V2HNInXsKv2faCDLfwf75fP/sNAqcbT4Lsl4L6Mmec971aGoOVrYtPSdx4q
RJZjWRGB5hPslI+1QcEqzH+pYszxEn8QhLWSX4lfX6wcqDGB9IqHpKJErN0NOD0BSdkVKGI02aRq
MceoRMNms/JDMQSQesnNTR+DzwWL7yTsXvUcEOX39YRhdgx8omJ20aNIBaTP1GYomJKBpVjP5BXS
Yef2oc+cUAjnTDhHg+TyhvzTJiXP3iKbDGs/CwuXfTW4vbqJAkTkvNZcuvh4YicuxETqhtKgSbwj
GXWHqrb9GxYiQbYHoF4f2NaW37Ws7NsaznuOF+sa2+4C5d9nWvSvBNPyNzmaQDv0DHOPDsew8Ylb
BKSkMldbIBv5qAAUT5Z6A+pMklgbRPRM/wS3+QlAGf59K/9K5pHwviaHZF94T2QlwimBNoI7XmWd
wkmq+iDCaHDOYzXoBVlvCn4pMtkvpW9TUF5k1HsRxmKlR7YjoNs79dk9chcwCvrVFcaShv4f8TlR
IkQ0ULErJYgf3uGdIooT8P7khZ0LYCQV7/9lW8DONrcQCZcgLmuLhQ3UFGniKRraO2TvCXbcXEwf
fpLjKQmk/uBJUvZFmaY+iFZ0+tKa9uAxLwfIP4bTie/EAhyyn2yNOExbtAEpMiD/wtp0KquX3Bkw
S0TNAh9SY8SNR45J+FF+NB5cH5i6YXcUoAwkfS4Yw/GLcYs0AA2pSYrdAq4m39lg7X/YtJy1h5DJ
SHFliiDw4GTU1Be5ye0IR2uMVZ8vO2nmJDBH4tG8UM0IKxRvVWdA4pv2MN9NfZkhMsp4LXpb4nJu
2aNlymSZBOmN98CSRoAXF4r7IDsUFVcwHzEvyXMyBKFD+OnQhABNUd8Ey6K54R8soJ0ltx1s8mRf
VtYfQ2GAEEPCZfOY+/7GNZp+AuyTI9N7aUkJslG2qt51vDbFxu+l8UNw1Qhf7Qweu6C4lAtM3ksO
F2sw9lzr3ewPlzT9T4i38OZzIFqP5RSSwWVwlTjTg+yxKMP5SFAhHfZEyILXNtPteZkH8ZpXKZN0
Hbb5QynL99Zwkl2TBUFxyjlEdsnahChkD5EdgE39iaBjfDdZOz/ntE8YZP0A9kFdavv5XHIUqs0U
ltUdd8gpPAKqYJddDNEvhjn1ZeZh9bKYkyLz0Y7djstaekO9QRTGPXZsuYGH72wc37d5qZbub8uQ
GHSS2dlPLBTOrHRcMOWA7TpztvUWuqwDwycYlyNuXPHYQ4Z6pHCNJyAvcNKmtrCflOx4Z/eAeZ4L
Kn2mcyp1u1/Yr4j9MgZDise/YxNltR0SKihkJzuGfHxzHqPBYW9JFVZ+x7KhAPW6WMNyaVf38bGb
oE/fsM0MXcgftnXq5/SJYC/xlcmaPwks7hyD3C+lf/UmlEs5/kKQgVoaSfudmWzyONvy1H+ieZGl
RVPACMyUL56VbYXPzKJioXozJedhIkWBfiykfPMDs/mD0BqzqKPYA8RhZ1a/7Y7kcAzVpMTeOrHs
h4xBoMCGh+xWvOiZKJVfHa6i4/9u5fVfetf/wQT//5A+C05ndf78a332/jvD4P5nXfZvf+Q/gv8Y
0LEqhuQg/uZg/1vw3/oLeQvT9SB4X5kAyOZ/F2ZBluNzQX0NTNdabdP/IcxawV/QcC0c8ZEFGMDx
/pe87Rgl/km7B7tGU44DhIS8hInj5Z902cGXQCypDKfWCyBGU1H1xvXYMG/TQKU7FeCM1K2VwJ3y
0mpnl1Vysfy63GMGkucizyH2TmaVbAcnI3+crEBD22YG2YQ4ddTBrsF1ThaEW+JN1AMI1oYWqJlR
3XDcyvcl80rsEE15ypySuAwhyqOuBsoNO72uKUR9n7mB22+k6Ido6zkuo0PFGUhJzOwy9dmuUvXJ
Dkv3nOFihj3Suh2vMce4HXNVSKQKLDnYiCfjNzEtmtV5j0ZfWaTQvcyRy5yXZzcNVVzsZouluYDe
g3WAvjTt2JSwMShaHsONytQAhpDy6i3LlPw178uPcTGzW9Lqz4mi08MT1XDiFa8+fX9Jz64NPCRR
vf/kL255a2a5fZgGksYmtSSMYnV6Gsh6cV8xKXJQ5R7YwbKL+NHtLJGnHEnk3xHpRkhn3OyLKLwN
m6k8k9XNMKzS4yZab6OJij1yl8xPtdWWOy8Y5p/T0viXFKjRCrg1ak40Ylx0YBIEuCkaSsjiznTY
NJNKSyeCPxSJGmvBG1c6wyXJVFoW29xp5ASv0iB8scRiPvhzN5ElL8voxD3VhhnOIHFfsCVkkVnZ
3SfEhVGeRiSFsy+ovtiYBCfu2V1x96tkSOqtUqTFzyNuYW6TlNpy7gcuCGE6WaKHbhAkjfw+cMN9
PVMx0U0UaVD/VzEqJKGEoc6iNdtjxsSBRac3u5rOvstA7/w0Bm0TtSRNX3PVXL+lAbmfvtuXtu+8
HeHY6VJ01XDfW0HJrxK2zLxxp5DqFxtQ6lNoscraVJljv2lv9F+b1lJU2MFv/BF5kX/v21jjt55K
miPugPIInHdc4/QswnqT4gfIP/mPDmgoZ0AqJEcy+M7LyLc07HVpNSyyynXb4PvZYxro8AgKxjz6
jKZ7JrqKAb9YHTNt0NwitPRYsZ7oRyVIMg77gJ1XM8Iwb4p5uNM9P2MLzeKDqUo/eI0a2JeRrAxV
fd9PFrnJGeannhawSuW69jH4kdGjFCskotuoRDs5gEboearnidWXUkRYmLQowWoVNLmdhty0xEY7
oY5Cgvod5MkH1wJ14fpZ344ymk6iRf0nRh2AIwWeBGFqolpw6cJuw5Gb3Ockw0hADEl91hkN6nt7
tOBaKDMLftRZ2b1ahUp7tjtlcNtFlnqfAIigCqqWkShgtj57baKnE0TQTrPKFn62MwcnnH+6Jr+k
J6wB47YD2PFNVKxhxW5JMnwXmK5zxD2S49B6MwSxg1Oar7N/LgZqdRsHAP4vSn+T6FITds63HmFn
fhVNEaFBByFhWIMvH5vWML/Ai7K2nu6rN8ueyMmmTUZ43SyKPF5A+HBH07ymN7yizWIXeLp8y7Jp
POiIeTYGAPOqZTReLKfv7ozRrF9KShtQWSAycmktJ/M7CEg4QAkpb2ksAj6UGsl+6PPEp1Bnce7p
NZi/6i6xPkqFSSxQvXeceIp4w7aCXUDfPo+ZzSqiNBdvBlsNteJbDH3zY3H95HdudPOx4C70rcaJ
HZNt8oWthD4UOuYXdzpMwvG6Z7igKwoy6EKBKYYCnse5k8GAmbSb/D2ersU9CSSfbc+EMlILUZf+
MbEnXLHgu6vytq6C1j5V3JgA19rZqDdWIZZnRMrVLZK6rLtcYjopNkWXYdn2ajEwxUTF7YT4xPFC
O3RrpYhWi8bua7dJc5i5HjALrfWZpbgvu6q8qBDgluFOE2Zql2WCw8GzqcauvQH8zBpFR0Rr52mq
bkWhxhd0aMEeOqIGZnHt9qdWfDvUiPJIbLpxar1toCUIVgw1y578zcrQKkG6HAtBmDOGbz//Ml1J
JmUo5ugrlQbaSHtlybRXrsx8ZcxwocWBB7EU9oybee7amQCSprvSaaighVSTXKk18DUEe84rzSZY
wTZjlY6kSLBRnsbWdsdbgO3jEdcUTwEtCudmpeOMSRQSO6ALO85RnbhjwNEJVqJOVyrzU/bLozsQ
G0VxSvSTORXcAFhF4A3ocxVQuEbBZrexl8L/VFd0T0GFwJvSHkAf18fTcuTWPaQ7fc1DdtdspLnG
JM15nH8DpjNfPBT2p577f7Ft1myl75jRWfIMbybDdh+tTrpvRhdVZ17Y7k1HtezGy5WAVz3fLlHp
TrH2YWWHXoF2u9zY12wn9VXLd3VNfOpr+tNeAOxwtao6bvH8KsUGeYK0KLWXRn1wS9f5g8GJPGl7
zZY6BJxfvNQZ1q9O+LSwKl8cMrSgl3zKed8RCehRx2F/qh2qVX9vXBOtxhpuJcleHS3EwYaFpIml
n8Uh/N7kmor1rwlZSuModu0gmztc768pWjrV+104dCV728K8V9fELckuFo1qDeM2HhSZLfYP/SHX
sK5eY7vNNcErhNc9gZ43PkOij3bsXdO+WrD0N68Z4PSaB7ap17jnu5Y3SWqY3dFvTXwJRaq7311J
hndbiVFACcPLFxwbcD8wnbUTpDGwsIzrk5nywiaVa7Ct66vxNpjMdomRRZG9hWe13xaG4oLa4KG5
6VLpUMsyyl8hxu1jK5fgl3aph4nDif5pHG2G18WcTMuupZt7rQQ3xQd4FHXxzHx4MzLCzhtz7vLb
wWpewlF6NiasTFi7AE/SGWB1vsurIdfIQvW36doJR1mi3pe6aU5KFiR+B+3ru6loQa2lbOZQvVld
Vjpnh1H6SGz7utDyIc8wrlEd3eO/Lp08ZfEr2UJkuiCXLfA0WoAj7fF9TitEUECVudgZ1K6dDTj1
L5rGu98UHtFamwxj2ewa3SxWnC01YWMyaXK79KqVvJXZKcNK4DIXWA6M/cTOq3jQOnkd2MkAbUvV
QdFxsQEL3cZGBchumdMDA+mxMAufVHuOvubOpDQRO8EQFxPBMSdc8VBV7e5wtfEKzKqiexuzqNi5
op9izn1Co9SO2DeCgqBjL8r20gxifEYbGOOSXdqWbtLpI5J+WcadMuWXwD2GwyZNHai2TYxDa5cU
zfJB2vT3kCWKRYopjl1iD9YmnNmsobOEIMSRjFHCEkztLJFS6p/n1J6p+1TmOy0jk/mWysaoNsvk
eA/OAINzgfGI30iV7AJF35bWBjiXDSEqqouvVngkCfH5wLxzGzZyfpgaSMhN1B4Vx0XccwacJsp9
HpsoG1+THiOXN5b2eAAav9FGWp+hFKUGXA12s0ejq0LcPXWNr6O2o/EZ9QvdypP8o2FDVF/kC9W7
jUfb21asU34rF7IQs4bP155C9YM3kAn0xnRaXAdF0z2Y7RhdXNPCKWSzmXqgZ1o9EZqiZizxWUwj
s9byp58FGX2QbU5RAAPa/BGyTv6lRcDTEfSILGcePAbDrE6bz8jX3TOdqM6FrJ/9UE1W9xI6ISsr
p9X4mBzhz5yzCNTxkBnRAbVxOvLpGXHXp6b+dvs5yo7NkkVnPP0VKfgmYPcHmjRkAz47KOE5zRJY
z+z0WJYVPe5GF4h3Es4+BWhjLTelLlclo3F62quhCX9GYadvLH8Ut6MNqWgzh+sINlDfHpfVYkNy
M4EEbZgJCcBHc3dhfYnsCD+ADcNiJ2Z0SGu3+s1LIv/MxzG4LUMzdzD0y3rHzwxtdggzWvkwQQAh
zOok2VpJ89r5+XDmYXXjDKEhHlrHurEcrInUebjI6Xrc8Val2DqgyHaLgSxxMfGsviCxzOIlF2X0
LaKWR1uBcP2atJdfVOtF9ibIwqkiJKasL6ihNK+adIlkRmFj6+DeOGKpIis1nVVC8ahcinwH6rG8
d/KlfgCOkNtES4UfA5jkxdI2FP2R1oo9XpKfUWnCRQu19xNy6/I1lZIAYBvOYiVP5l+t3dTErErx
xOa6eLeTynzC/MX9L+AMuRvaNhkP+HQ6FInA7gFmh3ik9r0JWJ3WB3W2eSx2UzX2+ACNIx0Ec1zX
T5hRSpuSlAU3MCmOuHFbB9QnXuzzLOqyivXUl9jCnPQ4LQwXW+WXSxqjM6TfvtMyLGKm3EkvqA6Y
4BaxpzMsPQskpAffStJTyS/gGfNE+cT7Ql6Ew7fBZEQYbyjSGdkLmMLM4u/ZHoHQ8gtNuH59BDlv
2ylyxZNslpc/rT/+ZtH/b7VGxcvqvvv3f/sfnN7kpYiNwSU2CTb5awfyn53ebEVl5bT9ciiUlf+g
77S/c9O1NpbqsJuM3ObBWquH/+u/9J/jOrADTAc4VhjhaLct55/yiHZmNUsSFNNhhFB34VrQP2AV
JiFk5ulzuyi950pGAdA4yv9J+GE1rv85hrL+zaxN8AiTv4TV+E9xudbzxqCsKGSWYUuldxgQI58a
3zhTJFrQjRIlKzqS/dL/X8U9z+3vf/+3z+8qq7dZR1LqV/8PezVYDv/lKu7xM//selic/8mf+htp
Aj42iTvyDuvmDKv+30MSfvQXFwDCmiiCF+D+GTThmH+xCDQwa3PNh7G6Mij+npJw/sJmjz2d5zgA
uU1SYn8vT/yHLIv43fwnD07or8u2P3+W+Bitn6aV+RnwWb7SuP8UvWzMdjK4ind7s4LDdDCSVUmw
Sw9VoYsa/8QSG62hm4bOP0RXDUL69lJvq1Wa6FRksOeyRXi2B3heozOBQcMpkMW0CqFrBKNiJFyu
ekeuK1tfYBLv9VUPKWQw9odZOaglw9Bia0VRH2PgwMktcF+lmF5q/5RGHWX2WldVe/DnvPiAKjWN
WwtVVezwR3Nnw/qKN8+sE3GZwsH/chjYdiJA35mGKHxYCmu5lUZo7Kp2KeKIKsFdK3XxOBDT/TXY
pvE5X5Uis0z8r6ro63ebYVnRS7gqSkD6iKsJF6FpMIP8rSQbSCbkKkK1Iz6TA4yJ6albBarsqlWZ
q2w1z22ybZd5+gC1iqo11maLB42ZClX1qntdNTAc/6m5La/amH/VyYYqYws3KOSCjaid9p6SAwmO
y9LRR3vV2vB9M7NmVw1uLKTm8sJGksyw5X2E+GNRBMeUaJYbwdTvOgeI33BV94xgVfrCAVPmAXxY
Y52oiQaSuXa4aN0zdtt939kXk24AXC2TqvaSxeOX02tuU7nbPtCF536nljW9RBob9qpOMpePHN43
bbFggnXacaIceGxfq65G8L7qlpUHLJwlg2RgMBftvaZXkRNvntjKJcpWQ47bPFq+yCUmz256Hca+
fKhbmf7ARpuTPkb7PuJm7w7Oqqrmf1VYMVIE4CWv0mu4qrC6bwd141ujZcQMBwi1TH6zfTRc9Fvv
KuVGV1nXYhBi3KPzkt8ZGtemIs30TKiDETQJIR5tKGJBiG6brk+wyqzqcXQVkq+asi7H6QNOWXjB
TIAxhtUu+vNw1aKp7uby0eHwp9CNmKxzoMp5FaxH+q12/VXIhqM1EGyI9IVllr22pYUvRd4xNkNu
HYj0d1UVR0O1PGAnRiDHm9IwCENOgujlPFjYCc/TgInhUKI9Uf5uhfVHbUO1CK4CvNUo/1fbm8HW
ugr03Nv6myyZfWzXE5YO5dXjDoeH/xGJHOdAZWUWwpE2cJu2g44warQ2fhn8gafQISC+p+BL780G
BRWwuIGDgE4t8egudqSBl+fRO/RB+QbbJfzyh9ClJXfoubCttgQixAUusfBNDxlBlMYBDjv3lvuJ
ed837wWOUZ8+uNXtEK3GB1kv48xCUbs3asDJscFbmOR76oD0uwdU/ivNRYiL/+qoUFd3hV0s2jkW
EN68jcC4BRuY7Z3eMHmzEZFXlwaKI7v7lG6EIZ7AhtOX/ldXx9XhQZRnxN01udbWvnpAopBZBxhq
iNacmv2MlgYkB7YCH9jPxjWyz+LqJ7FXawn9atY+X+0mNU84LA6zS38pn9RysBpTJtNcXlNQw5hp
VvOKWm0s4dXRMl3dLWI1uhgLNNS8JkZpmU10CblZvvCJIsJfEcRIrn4ZDpP5o9BzeUdyDT8NNzSX
OoNC2AcWJ3W0buN/5YptG4XpEqs0xpz66tHRuaWpCrp6d0TpL0+8bLzqmR1/8hnmRnhnXy0/fiDV
TSfa4h1/HpagsA+xB5llZbzJ1TOE0mrSd0mXJgpxi6lI9hJtk+f7Ypp28907EgtScbUjERMowlf3
alPSV8uSZgsegGVfrUyj65kQaq4WJ7W6nYLV9xReLVDW6oaqVl+Ue7VIdVe3FLYpoKHV0VmdVL3d
6s9ydVfp1Wdlr44rb/KMJ/dqw0IIZR+FSYLlJ6krewcVffhkZ+L4x2x1ctG+iWAwMKfSLtrj9Fo9
X9ArdbsDGR3urNZpasCAvZs9mW41efy/SfYKdxgLmU7DEgR75AABtbGYFe5C1wvIeesbHm1wz+7M
+WnA9nuwqanfOxJfYonRLXuogLLyQrGFR7GNN9Y/89Xjxo5zcmK9Ot/w1oBwyVQT7oyF1TcBp3IM
nsXqmMNkYSMKVATkvL9a6jryjHECqjTmftr0BJ4SDHgCsiUhitWW5w0zi2hvSR701bYXZAkWPjLH
vLXc1dkHTJJ+AKdIjqQPzL1dAUl2Vy9gsboCAe/bR6GHlIgsnsHWCoddu/oIk6LXH91MvdlGVKun
3yWkwz6E59Bg2xzUdGwp5x6/xaPGmL11fPnWCJauuHEN1HOuLE3mJefMAYRJF577PaW5eRKYH2LC
wzLuh3beunOGa5KqKHhKv/H6f/XCNQ5WRjtEnxCQjDX1kFDtxeS+9UWGga9peRNzH+xI3NA8PDon
lyu4E1Mvl7en0SXet2FnSP7EMXyPotdydljHsEYDRMvOF2JlGn43jWzw61u99Zpiqls2LUkR7zji
cZjuWFnU3wmCG9uQgVHHTbEyrbVJzcXtczR8ML2sdXNjZw+S1FuKNZorV7glQUurXelk+QlkirlL
8zx4LDyMid6QlFvaHXB4h5n9R5gl/UcZOt12WubuyyD5EheL72ZkutnLbuBw+neB37C4j8baorGz
BMlrwrCFOJI3hvHiElGQQL+HrIlD1lr11pbZsNzJVUjbVXxgiJq3bEJ2IukdfIxKTKc2M5w7iQEh
w2HgCJZXlnbYBtDndIoWp/sdyoTSVr+EwQp3pTxVFRjgmDfCEOBGNMP7ZcFcRoxJRbfj0kYXk6Tq
DLdRp19V2zk3nlIGLHJWm1x+e0JnPQDKnyZO0XxLsISlOE3LSw9gJ8HmSHERqcHeZJV0EtxRD9Xs
ARIs+CnfWoo03kYXTuCTq/Bvigq1iwt1CGgTc8crQxRyI1Qg+1cnZ/Wumz69KaFrpNvaXmmaHErT
nVDRmgej+9pgD+cl1qZzrPxeBxbeJ8f3etz7RrpsraJX/oW6o+rkgS/OiTJyER9HtZ5+iFKYZieT
vw+terkl7ZLZ8URx+LbySv/HGC3Nq8MGJmArkDWnkMTLez5KnR+pgpE/BuyszTZEv5x3OuNLXrIG
N/y9shJxO+UdXngHA8YnVZzyhw1C6zHpVIDwbfs9baPDQm1mpW0+J4PHCqJwgOnjKcy3KhwRyQkB
jhuDwfSHJ7zxrBN+PHEC93Ct51i812JkKuaVkeLsy0zSWrswdcPqTXg5BGdinVh7WCTxv4zrdJSn
7YK9WfflJ4NC8ki9DcJjiIfWBFjdA+jkxkFlaVFlAdZ3meNG5wU9E33K0/61SFwLRYkz+l7DHj3X
ehh2PALqN0Bt63EshrQDzxaVP9JlMl5saUav9jB5B3uIot/agbIL5HU8h55nfMz0bVB/KvPlx9jk
+oP3L+OCK3vbjauwyzHerajHsTLDk0mQ463JZowtEPfLN981iWO5q0WYl4CZF4emzzDNu5FDyFHQ
/1EyKZuFeyLSyhTTsYpSR7o9qxs/GFCrmyEFct7ZfrmXJrz1rZ9eNd40lfMhoZA2u1l6vzh72p0l
FNXVuJTlQJq2OiqjPwb6O391ihLAuKTvw9513KVegZKl+KXTcVLWwUQBXAtDVOreYFVAd3WwPud7
bxnHAdZB3UTGZ6O64DjjuAyh9y0lqnxa5wvL3mXgurPFgNGE75idrfDRw6YKSpBPGnCgYrK8YJMn
+tPDGtrNws/3Y49/lGKeYCfIiBmHqXb9k8PzxAdzQQi5YP5rkUAcd3DukNAZWEkJsXwKvWeT82a5
KZI5+VFEzAQPpbaWWnAiRMK+EC4nGJtWoy53FcDCnW1CZ3RipxoGbiollo05I6grpbxNl4bxiGSf
JiFhtZV7BwimTm48qxvS+3AMNPI4CIzxmHdUck5EFn+gbksDHwUzyfNM091yiOTsOftuWtLsRH1v
hrFZtKo6IqlTqU0qaO5+VstsfkZZXvibdtZe8rPwRY1fcRJWcBFs8RNi1tmIMM5+EJOsjSUww6s+
Z/S4itk2fzr+wHZO9YrOGLmS6BNiftGF41uOxyK09I07Vxa+ba+zjtBTikPPIp6e8sSfntIaN/xp
zkgn71OF6WtTu1rkt40brMQZ4vlE3gq72xOLG4xtL0b/QL4xSm4cRf/8vsVeIeOoToLkppZ6ljYe
TduEo9/45DgMwy+7j2ntYmjlNFe3pYMnH5MHPg0W6GwNW5DnxIWPSDzr4s6rgvSVQ8rvTgR7asYc
cxwvw+iEJg60rBuqF7yIbv5l8QzDE9f9jB2sxVpCXScCndn5w0Muo+gjZ7jDnzz3LawUvh380iqb
l6MlUMzPqUEb5y4EF+huFqDU+8BWdOosoTLOKBYfUU4pKZRvXP50CHAmukn703CmCEekuTzknXjM
BwkjTWUFqDdWb+w7F2fA/Dv5LaoHrCpA58CA+UQZyR+U2xsw2rEVGFtWDPh4+jKdf81COQ77OcAp
zPZDR7iVZIVG2Y81JRyc/95cnQZHGi7VROWjFiAVtyB3i7OYeGKZWhJa3ZNwpgtPGGL46oJQr0l7
GtY4hVSF652rcHnMOsWGuBtATHXCEfw+wrV/tES+up99p7RvKRQbxJY/bcJErAfT2Mq8iWoqetMJ
5IAyV/m8Dr4lr/5sN0m7e+mQUXi88lZ9VoZfn/AYGhAmg+QStGWn475aLB+6gAdqYak8594rBeEx
orcHmsuqU45JeAEBwI8DyLViwTv1z/zko6MbCVquwIpjIxmX7tSa9fRJpEq8znPWv834ovIDvmz7
ZnCs4KRxVVmxDlnyCtzXbVwgGZlx0ICZ2Y6D15rkhnKjvIu0xlRC8r6K9gbf2KvERnsOKQKuNhPh
zBGPaDJKujYpBOhU4sttT3IeiA2RwGE7wjngjS0jf/d/drv5fyPjxbTM4IpE+dc2wmeVtVr9g48Q
49/f/thfl5eR/RcH0A6Mnf/O3nks2Y1k2fZX2t4caQ7hAHzwJvfiahE6GOQEFlTQWuPre4GZ1UlG
sslXb1yTsrJMJnGhHMfP2Xvtb0LC77qXSv8DgqsyyBXi3zNGoD3+Lymh9YeUEEBpyrtoEE2Df/Wv
7qXxhzLUgtY1XYPXQPxbjBfrrZSQ98i0AcYhbgG4Svd/kRp+170s8wQfmqWT4eFb07pLmJdqxN5n
PXMWXY0vrq2CVY/qZy2bZNrNRftlNIx3EDdfyNYW9361bI6q4XNL/PYqabNu0442ul9Nh7oBGv8B
u3tzcvoAnbuLDHvudeZaVXxnE2DqDWgC93mjuasgKK9OmWBUwGa6IRz0hclkRS73dF9Y4ktGAoY+
5QkEasbcuYpZ+BLtsxWYV77rxgphSvUhLPDLSbsf9y2DAxQMps9Rg/4DzpC9hkywBhDH2kWiAUV4
cBvwrpL6LLWNAFMBNCrOSUN3zFMbWzOMlBJFHt8GwJGOBacT/8Gzr4JHESWvQ1i/JKIFYt1TsV3Q
xCHqHkffAx2AB6ObulVsWN09YQnMVBLrXNr6eDASYL2zPxVegPF8yWGIWrVyUHUNq1jq3VdalNel
kthAM3DuaHoD6SjDTYhtZjdhGAVVUOUXh5VtvSjWadQG2t628GeHjQFtm34TfSXlHJjjlBgmAvtj
a08falZ+KoUZJ8pAo9dQKf+PzujHzlbaxbdRM6qhhGvSDrFHCWRdZob1jK2KLzFqkp2mKge8Tkwk
TGBSu7NyAWApiK9wcGgnITiLQdH2qEimv3eb+TODN/TjyVjdDJBiX8xiemG/E9JOoEhpVCxWWSPO
VpV0qBUYs8+4IdboHb9GuZvsnUJ9UC2ZL3bPH5/bdAq3g463tM/EkYkhDwDT5j3JeuEpctLHCF6r
gwfn6IoWQWgwAnz1CfhNHCPBlJwESOqC9H5oQ5zMDKPXc6LMzRAtfN/SenLM2N84gSYvXVy943lV
X0aBWR4ZZnadDZCFGE6zTV82j0hOHsNp3NgFE0+8YM/xbCVeL3pFO9i0UNhY79N8XLAMzb1OKNMG
Rxjk9dhsthk7qGex7OCl7d4je3ucx/gWfgvPLO/7ug8x6FEimKRr9Ex5x7EJ/EtsGlW9y+bWOuR+
FKGgmOry1rJHuiyAFzxsWOkNosp0U1jBcID/X25tnsGboG36ow+5Z487HVp7GLKcqWY3t+WlEzGx
B25KpDWKvPiemGx3Z5SEsSAiedaDZnzIVBYcBxt7NmAepqWW/aQL1LBJ1GfPKUF7a25Vvxnk1COd
iNtxhdMASl1RLvIGozrTag6O8zTY7KJxFFFt40LxOr/+Qoch99BV8dkciQIgYHG8ox1NRPRoJZtx
6BAjNDabBNe8EbXfeBQ6pPiqIbobdNBBU+l2N1B2wHXgdPvE1moftTPMycEp9szCESSWs35Hg2X0
AHUH0BIwgbZClWvR+M66t4PQS9oBjLJdutHeCGVOUZ1m7LY0wkjVoHXvpkbZT13QOfvKnfx3zKH9
tcb0gk6DIO4Kj/YhdqrpVNGDfVJRyRi3oLNM42Q27lM0PVdMcWy4VRq/s8lOotXcbgu86UET5PsS
8GPZ9saXvtT7+2iwB4/szwaRXG87q2gsyEJAagE/pPwYMZr/0mOiu3EYVh7VZA97BNk0mfxSrjXw
NVt9Dt65ZIRcQSWdwAEYHpv6Fq0NtW0mGCXR/mCcTsfbN3hzIzP2skUPWPahc1osnrfD7JMtRjLi
TYhCZ02b+kyztd8Rs1m9ywU0IqPI6mtbQW4MJ0Yw6DVpg9CMXPdkdz31ip+RDtN874fz3SiRhhou
Eo1iGqJDGXd3fIe0Q1f41VYKGXysi4xiNtUeA6LfNrPJDqow8vYGj4X0XHeO4EQCScyNiIlUmCAM
too7GYtF8Wt1K7DkGsh2x1jhP/Q9yDuTw7MLJlyTGuhfXLRsJNxsJ3ApnkeAListq2CZZClOKcdk
FY7kF10neFzZqU6/Tt1hwPgUkWFAN3BAAalQEaDHMjdJH9PN75p503c0tDM/oRjP/WdhFXwVl9/A
tM+ELDOoNXHnxjsSbOU6hY5Ja2hWF3gpRrzGcQXfIDGD4aOGKBopbj7Uj0bpfiUe/MK2jtVXx9US
6huIcDcoZ9VqZCSIF9BFTm4MTA96NyFDQ4sRFOrlxRF2/FwyW99UhmQYMYfPjPt21OepR0uyzte2
pt7PBEFtK1V+JsOJKNwmfeyrxFnH4zR4mN2vcz9fMrZ6qIft+Klpa+PQaZpa18udRtPlb01E3qjF
WXpalX/Ojflj5xQfesfwuagzcYMpDS7Up0zUZJJHR2C3t1FY1RdXBOjYTOMu0tmoTn6PkiLvDYr0
xXqJT3NlxQ72zj6pHynqW29ugmpnA7TZmwuES2MVYhuGssvf2K38OAE9Ylv0GdALDs8WC19kyv/M
6b/Q3m2n38zpGYVLRCH/e637ECVYFb8f0v/1n/xlmXGpS12qWWkLghPdv6f0rvsHNbEN8Xspcpd/
/q8q1yVBgn+gGN/qUqLp+rvKdSAZKupb9BnL9N78t6rcJY/7uxE9zHULr4yka+ZSMIElelPk0koi
xDmnD2+h2D7O9QBGr4gulm+UR2ccMG9XII8s+s+boQzGp2hIgmOu50xVKSg8nbEhM/re/RSHjU4E
X+ncAwAYD4VWtpfMGcPfYFJ/FMb88/e+EcZIbbLbyJ30PZnTw57yHCEz7R6gyr4nSobGRqUgP2TC
/9Mwho/r52oG0/rdpUI38cN+wLaykkbKtI+ChtKLweUVBba7naux2MSdVnhIhLVVp+PJSQx5My6+
VrtSmaccFazjUtb7ac4lvL4hW2Gkc5BihTeGMrqDUXL1bHO8SWkLXXwQ4+vIKdD01rnYN3N0X/bx
BjIeg1zBSBZTZcm0MHX7lyTSyAYkw7K6LcKs2DEC6h56UwQ4ROieJekYbdLSyI6ZEsUFrXR0qZmB
vg+7ofV0rSzOkc4Ea6IC3mJY2Ij809SH4pDmwQ4XhcYUIGSSMejiyRqK8eBA8NilZop2dwyibQxG
JK4JksIOZXQvpDoLNHgaGU1FTgeQPOpNHcoC3FT8JG3/ppuGO4YlNa0Rb0i1F6vJ1amFUXGcYvWu
mQ1th8kesZElvCm0jXM8B5cso1VfomP03Clmst5FO3PAaNq7zmubQRrpEYGA0Y6PcCWRHPbTDUI7
uaW+bTcd5P61FjKjLglLBzXu00hLo2tBHhFTGYHEswD/Nx79mbiqoC69HuS/gUm3iCvG/T5TX1NU
2zixRq8MsoZEVKPfFbFrbYwBhWZOQo+HFLXYcGLEFkZQPmVtiw9DUAcbO6C2Bt7TTnuYMndDp8wj
bw1wne7kTwqwhmv0W4xLj5ip+rsxG+k6ZpZYlXaHMGQo9yLUHpGYYVeoUd3DwmPEVRThjepAIvWm
SSJaaG1kgnWtcW0fO5Mtdi3QqYNllcSKG0W4qQq0vIA7JQqVcuH0mvOjNlZHNgAbreh7KuzsMJu1
6aUMd2Bl8DSPEg7EUKKB71xUdyaT4dMQhGI9Ri0gLCInwSUS1kWLEk/nrqpcsoncRyHor9joRoyU
ayn5Kq2wa+1ts4XDUJnOOncwRhEXiR2iK71B+bjLlQR16bL1tAhVl8953iTr2mQuHsoy9Rg6xB7e
fzA1aewBrATH6bjxDgjbvZ4LcdICbPn2gHRnpN+9KsoWOWJRJg94PTRvcpzdOFgPSSEZ8Lgjqnxw
Tauki6+2OxJ5EDrGsjlt1y0ENA+WzE4b6p00NG1j2cE9zBsIBZk6BTI5ADO7j1wUTNU0PrZjhLcn
WrdteO3pKe4LCfYGw8nYPM9pdeNUOFoc0d2HTPqYNyTRFmzthqLxNSFcfU1+/KVODG/K8kc8Rhtj
VNsqzD4JPd+0dBa91EFQQEMuXDemdaW+DXc64ZVRXEEUUuA/9ZvRCY6xnxuXzK40Y0UD2tkGvp0T
gWUWzUc0WpLrnouHER4DmyHjXqPbtiWRVPBu9yMipWDEmFfbGcMuU72GKcpXwWkdxrkBnpMq2h9D
h7XZr0p0G1MLHCekFznioNrXJZhLIzHAzpLE4dVZIu9cypJVCr7kEouq26eYl44m6yLTNfGE6Y2N
uKqG0wSX5LFWBLyzhdNQHGsCvaPeIBd2IiYruSPO4ObYgFddfV/5MGvZAJX7qID7iOKFP8jofs2M
CrALFhLUYf5NOU3H2jCnjbSTR5JdW8YGuHbsxHpmSo8DtHTAhE6BvqqNvMGfT5aRUbndWrj03Vu4
EpDTCDOPk3leqaaJDoEDFS/WarEDAkWwmSBCThWNfMlQQDn+zHqHcjibXUZugxuj0LbnPQHy80rT
i68OWxrmu+1O0sxaa32S7BsVvTe12toQSXrnRGa+1kMiBceGVgcjKnaOWqwfmKDm17mW99+VJj9R
5VFUvP3gu+Dnpe7QPqWIeKPv1DUr1LVkGRio4q6IwGZlMVMrWGynXx9I/xHp/u1T/cOR3pQWbDEJ
awMGte+DTtJEU1/0GRYZA5QCUJH90TYwfYzSwnW2rLwE4xXer3+C+aMA8c+fYOvUOOQFYeVxlmri
uxaeW+RDnDezvme1oncsLAPpVtdgL0wdx9Nq8mYIvE0eoHW0+4QG0pWuAJGfTJ1P9AGqE8LbelU0
xYsNk/4uGULlJUxTiAjQ8/wqndnfJ8AQvbhPgz2D9Xxv0JvYkI3FIgift66Eu4eD8DW3HeDl7UKY
q7M7foeGdTilf/o/Zef/4739/nTfSJVjK03x3kl9T6vCv29qZB8TujIPjMq8/vWhfpQJ/3VlncXN
zf/QiH3Dv9YHpigtY7591DlfW/Qtq0laH7CI5F4ty5dfH+wfkWXcQXTQfx9t0Wh/dx+1yM/6sYiN
vYz6WzR+5jsTEO8hHoLPelRX68pO2lu0EOHRJWFw32rgUowEO7FrB+1Fxd0+5k6Sit3uUrsat3HT
tcfOZ3Fj2JJ5UcQtTOQgvLCNpWdMRX6L0DoHTVtjPRh1/jai15nfa+dxKUqqpTyxqFN+fZ4/Ss2/
XVQqfmwbDrlSnO7yOH93muDobKHxHdnbFQCyxPbpT5CWSulma7c4g/EEdVWa/OZW/uxF/eGwb2pq
oy1Y3IrBRMkoF+et/OwkOl/m2kd8iHrhmE/j1Yeyc4tfo9igrE1+86L+9CewKCkSDpC8ww/48cxT
oY9NSYNub0aQRxs+iZFsLkiYsbK1ZKCnpQ3MW1Bvkm/Nql9tf33lf/I4Q/H9+/hv3pxugGGu54G1
b9Pug9lE47XNffOYVbToJi04//poy07hb130n/eZ9iD0caET0SzfnG044CJuC/qH0mzisz4kA4Am
AIS/PspPVnqu599HeXNOjSnMPpWFtc8wUq8GTnDVYN5qMyLi/v0jLaciDJQRNG/eLgal6nKaKWI/
+wNiZFd/l9rqwHfmN2f008fk+wO9WQfYf3Stn9YWX5PS+RIN7U1sONZOMbyDQNCZD0nQooMMlvIY
+BVbgZKW7q9P9idbZkswyOIVFcjo2bv/+Kz64Qi9OPLNPVLzcj9juH/E80q4OtK/fQmTvyhV4gUE
bq+ifqJ8C8JqjYwHOFxGGCoeLRr7QKmW6iI/JUH2zq5NRjiR8RzX6OF//XPNfz5sGMOQC7o0JfjF
ADZ+WFQwLiWQy2t+WtCd8gkakR6KaFfMqaALNl9GZY+bshN436EnQF4vsSYuCce4GT25tH/7jOW0
7vMDZaq/iQsddRd7mkYD7c8m4mtZDsFBVBklnGmddKevIIuBRkcdaK9LjfDWci6orUq/WvXpF+Jm
9NU0VNla2L11bprmzxLnP4aS3zSqGLCisTB5+/6naPBe29f/+rPLdX3NcKNcX4PX9HWx6Pz5Tw+f
/+//+fu/+2swK/8AgwSsxVoec1suvo4/GS/K/DaytdRSTRH7uXyo/9WysulySVbun9hK5B94JxnY
2gayNv5K59+xlRjqxyfaWZY0k3qAlhoyt8Ue9eMTPbuNQe4YKoOJXI1N7rwSpaXQkNTZNSQy+wxu
Tnq5lvEiJgRaJp22Q16cvo6WdC6x2+iIK9xdLJEIhuXAmImH2crdp8DKlJfWSFOph8HYTskylbP6
u76m5zIYZu0NZZc+NGGiwRCsUWyFFvxupoaNfZnAajFXjSCOUioAnLrrgPbbeWZuRIKVlUna0xj6
7rYmH4ulQJ4zc7JfHdovuz5Rm6Yw7FXiKhCGYDYhVUKXTVOQ1z0bHZSLwxYAB/2tmI6T5S66pi4z
PfjOeH91xyNsGou2orsSWow91eeBTdJQZues0zdTY9wDWzsVdQmcrovWXWF8lXo0HrXQp/yvQUPv
jLB+iLi2N+wKCkh9WrlDE/xEJ2Vla8O5k1xM1ZbmOZ445chMrlbe7ioNYSNmigtgqwa7cJHtorH9
xMBsvvrPSDgpm6pUbeFWHS09TK+T1j7bcvJSfDSpRecqAyuFxeAriHOi21GKEVnuje4CjogfKxUc
wpKpTe0MkGpKnCMWrFhtjvfa1N2RA9FvAugOT100ywNGVJYyY/QibDhT2XFpnCrYZ9CMH6BI3WOy
/+hL5iFBY6XbcYQCGxeZBf+4xqct0RhP8CjW5DLEO7e1fEYVrjwY7E8ezay4NxNgzszCrY4QtXB6
wNOD0BEReblrtTi4GW06j/IJkx5pZ7Gd3w61hv287y+BsG7CmO5DYr9DFXwlnwLpajdau3ggjqlu
DhrmZsGsagiG+kTPbpJTxK1qrnXdfk3yB4HgmvGMMvcSCc56Ynq+afWNNfZrgRh7hTJeg+2Ifrwk
jGnqxZmCdolzAN/lutuimg5jI5787NlIS8b2YUbqgL0cOz5UQlvVaSmeDOA/a3fClUDjFm1YHsKH
zAAM7SoQ1WQivlq+Fp2wSn9NY3VZDIEgTNgEV7dm6677PPaKxLiv51B/39diwVoX0cbqlPug7HyL
33YhlYOSZOJeazdziD9bx1G5jZQe7nITyGNpVd2prZOIIHC0T0DdzPJo+s10iq3afZU1yFfKDSzx
9LSBBNUdDGEfnroZgP1mfhKdQ1xPoFIC2q1OHTw20N08HlViawsMDlPCJox+aXEb2mYPljJPPzDL
cR5mKwKZBxKF0Wdun4BWqxN+fnuLI3nYtroeMP6ZxwtgxuwR5Pb46JZZd4xFmT2Bd0BJ15ODSaqD
ql9b5rpeBQjkag1KXmjDl+ekdwdI+bl5lfrcHVtR6+/1OO2YrxfjdgTvcapSOznUoZI3M8TQLyCw
O2vVZFP9uczYHSAL5arP3RBd4hIci/TT9pT6rs5Usu/FLX5vcT+YfXXVfUM/Z0kRPjH/UxeQj/WZ
R8U5m9BbzhmELDIj6ghlFRl0OxrACKg4QfY/7XQXA2jI9999ZX6yNTW/yWX+LnoR6yhGIKbDV8BF
vgN44MdVO2HaX5jNHBzcIEivpVUX/SFu+uZKFyln+E3nrdQpHydD7zxqYhppJOVtJLjEjdV2T4gh
tS0K8Iq3AG3mqiV32ZNBJACBA94MrSh4D4CPLNOoCOStnYv41Irs6vg2AsNKzbfoTJir+W56mQLU
bTxJT0i+4SeRSLvHhQgjQUd1ChPysa7RaHcgYW7oZNLTGabOfyyHgfa0khNoxcaZ0b2HOX8x1oyQ
+bntlNMun0O/WzcROO2dyIIwBo1vFe81pNikYvfI3iXsvidAF+77xgiOTQqqjMC2+87RdnnU5uvJ
tJdMermuWgdbqUhJ5c3ys4ayb4/aE/l6Z96XY3sOy/rBrx0XG5nAgzdKAu3xts9IITbgAxPo4t2M
STKeaC9lJ5Ad/cmvi7ND7h8fy0ki4w62A5L9ddyhDoePQezEYAefwl4Ox7wfrK2G0WCVO9BMCtyR
rDHYCRbF/n05EydXdkF27aAQ7pSf8SjNCE0gdNniPJTSOU9d3JwjqakLbr7wKRRIdYPIrq6JVOK+
0G2BApNkxrWK+vbEvR7PeWlHl0G06sJYlOedmW/zmQ5ab5FTZYZfoKzk67H2x229vCnT8s64y9sD
lxlE6/JGpQQIHkN/NK+Jlo93ZRVVkBNyvs9h019LtDLISuvmtZoy5J2dspptsrzBanmXadSNj/iu
88d+edOlzten7M2BKTHrQLSsCARC2KcSLvm6x0vGc1C5D6RMpR+iZTWZl3VlXlYYa1lr5LLqtMv6
Q4RP8Bgta5LSSnFAvRud88BmyRrbOntXk7pyiJNMHcp2CE4kS9PXbG33NU6N6US6DIol7Ga3IdFJ
7Vrxp08UIPYnhCDhbsQsuO3LyL7lT2s3ZKnaax2a3CaKaKqsJxRXxBr5NVCKZlZUKDgXOG1XwfBF
h+rEw5b9zBh7FUCdbI1ktZ72mRVm/TV3YrByspJQzVBczB5cTKn2Ol37eEFkBeU7hIIMvICxlC0R
6GbS7ouAkIGzkQr6ykUTWYRItW7fbcw0nwZeuwjtqQhANa3cMJyIhoLPEGyyWeIzGSWctzU8bobb
JFcUO2KzzBtT642LG4zybtQAj6bKpMcWW/p9Q4M0WZszdINdZYdpuqElDm3ERwYGc7JEBgYRcPBc
Rd9nVTtzqG26LKUCQppBC9th2XyZ0xRM1hzmOmvLFMeA2nHF6ufabA3sCRXXJa/uHJ8IhTmOB/An
UwlUJt83tCSYgLVPbX+2Z5ILA19c8PSXFytiwECcpb+mRoV0W0c+qQUdZkpmPqtSBcBhYIiuTNTY
K9HHH8pEDdspHj7pObJrtzbXLlbPW19UwxXvgLG2m/pj5HxE4q+OeEDJV3AmAwMGnwGzqKxV7Iid
ExZ3cBbv4wLF0Ji6t7o/+IydHCTEWS0gI1nOqbVHe0/kRAbswjzCx7kHqc43L9LNs8b3fyPm8hO5
y9pyjwhsnEoTrMVwy+f8adbL6Ku0hvAArphYibSYTzFyodU4IODSXTF5MSlEXwmF4BnsgqI0103d
EtkAvwKX7rdvyn/2eb/Z55loZmn2/O+bvHdfmva/Vl9ytnrf7/P++u/+2uSJPwRgAIidjgMUbdER
/LXJc+UfrqFMm9gufREyLPuvf23ynD/Y+TlCCbQJhuMszYZ/qW/1PySNBlQLwqHt79C8/DfYAT/2
4xyLzaKpDMAbSBMcoBtvOmSOpQUVCXzurg67BAsMsQrklkRwwIleaPPp8N3l+Ul18o/4+UVNrOuG
5bC75Gv/lnqBj8hHCawohRD97wIjib8sGWt3vQ6gZZz6wcv8mblBx5/iGzf1SJDiUHbPc00S69Ab
5lPSY+f1fvO7lq3s30XTt+tgGS7CDDQaBjtuduLfd4SX+ROunczdDUb6oeWbTGWEItiZ5d5oraPC
/UVUoYmHPUpHL5wusu7E8dc/4s12e7kXFuh8A9eZrZuGfPMbErciIB4i/q6MRpzmSeMf+XoVj78+
yk/uuMWp0hM1kUOY6k0PkaygPg7n2N2ZBbPgZEC058CMA7pEUYJY4NdH+8k5SUpUkzsuDcYXb54v
yJC6IEle7RTVzXZ0lwlfh8Pm10f5sQP77e7hAfwWuU1aKKL0H++e4Sd6NUjf2YGa5TQSvn552t0D
Yfj06wP95OLxyUYqrzgfhjFvDiQ1Quq/Pb5+RFhRpsVfhwhFc4IV2YyT6//HwexvwBFc1FK8ORhb
kqJwGsvZQaAU69TlOx72BhKI2WYmHNu/2Tksiv6374AyYPqiyCG+2lzMAN+/A5HuWjNgRYdWg0US
eI99fXB8cZ/qoX3Aw7IUCpW9DdvB2JNTRCgn/N6PdmrCjsjH6j5O3Hpn5lnvmYxUdEbbFdW66aZ0
N4k+a3E9lp4b5gojXZxHbE0zt2UbN5PlCKkUcGo76x5MJ5tAsdi+qwHq3f36kn7rGb95zxfyKlof
/Av/fB6XKhy5cOTsgjw0DrHU3AO7cHwuvXzSSJ4uY58QrDr4ShVcbizm7Y8kibq/udQ/e14VKzc1
giOkab250nUM9pA9pdqlaWcdRiu65rT1kLOH9m9mTv88kqKH7mDfYE/PtX5zJELWm0HFCrwJcMr1
2Lng/4rsQ8PAePObS4ta9h8PkBJo7L6xbrDsfvv3343Vqkw3NcdoYAOo3kCzqkVEqxnjrSHs8d4m
ahH/cvsYJGOGjKtFzNO6AuennVOgJcU47JEapztUJBhym07aD13Uy1fZV+5+sOEmr038cQ9ooKxz
2/bFKUHoA90KPMKq1Lt43KZkfq8rzF9rkTndQQD72IMLtreqzqedVjWVV9eVsTFljcC46gR1uQwK
6e+GljzQINOh1oSxvKEDM8ZrnGLoZ/uR8s9xoxuSQOJXvLDZweoV1WlKMtqkGJoVfYXbgX3kS2TO
1g2b12g/NyAgNB/mvWT/gCvA8C96PHmKJJ9N6pfZIZQREzj8gSumLeWjZdTli9Hl5asbCLwoYYU5
LZwq8L8FDHyH8K5trnJ8aKKNHzRRVjeuyNyKzls5eMxPyWocB7N6KVFYX+o+9IFVzNGuh6H8yR7I
9gOnYb5PtPhdnhLNAUEQYG7c1jemqs2rk4VEIUR7EwTBPu917MhsLox7oCQFAVqh7Z6EZTY3cw+i
IWgre9dUdbLjdGAX9sRf+Ck772YGmnDsi2gUK1ap6aw6xc2MyLrroHX7nYM3vIp2aTX0XyiZuCaD
mZ/DMCd7CK/ptWp9gh6liVSvKqzmnd7k/TPWhLjChl029sqv8RJTtk3tSuaqfSJEwDp0nQATUcEh
r21pnavezjZFJXzUX4Fb+oSL8+knoUaH2hCDTO08ekSI7gNVk+XB/TaanssHZFu+QhsZ8BIrym7R
6zTVIHW9D2mznlCLWu/NsBLEQIgkvCFrQDD5ZuwDRqMTDT1OvxlZOa2ppsOcDep5aCSUNqRj+aoX
Iv5UyZhzcHzJE6/oNz+kFoWQB9W13ISUOMcM6lyqW85XYvhoSYsuygNP4GGlT2qUdJBj1GFnI8mq
42y3duGhzkQtbgdixV4cUO5MgbNiPcg+2qYk3Zhka81TVl0daoXlyAySbt/TA7rYMyqbVWwFalcU
2lyvSWnLPDf3r1CgiWc1sUYTDKHze8OhJrUzdBn5rQkIDoHLatF8NoZ622GiPtJHW5yHefZAmiHE
8WjajiDpHg2hRvbGJeBZftt+0IpgqyoYQBDwMu7viGnbHnk+0hkiySpMO9jBRaA/96brnOhAfSl0
WW2iro6oT6vqg/KVrVOgmtVB0+uadjngPpjuqMT0WeIRQnzrMbjn6gs3ubiYGtch4Yi4qWsQNpYM
Vsycs1dSxMlqyPVh75JM/TkxZ+ljIBkGbPyipGMu+gffMbHQRFq6GdBp7rSRrzClaP2pl1l7Zyg4
yZg0sl3ddO6mMgJ96wqoGZmhSKGgQBxn3Tr5xhBvxgVZU0M9XPXlMSBh59QU7LZRMg1Mg5oAtR0j
i2DqiUaq9eBGA4FzohutXiPXNp+MWbabNIC7TMwi+NIFqbwny71gw9liI5URr4KrBcco0XsPNwlZ
voaE9Vf2L65bN0e3EMmarx5Kr67roKHM+aWl4d6tS2uY8RFEFrydGnCUo6Xx2gKmijKSwtuU87Ux
q3DTx878YFROc4EyEH0cI1ZcoeEo4DMfIUgkXq3piwE3qua/lIGg34Nj/MmurHkz1pPm5ZMzXwIV
v2D2IvqkycbF8YxD37710+xewKo6ZIS2HdCdgZaAsR3Mfb9LO3KJCtMevqCdxhaIjzibedc0/WVU
lXmx0uYy+Ph5SSUJ1uMgprVhTfoZ0zcYTOiiKf0rQgVlWgzbAh0JGXKY3WLdLldzXfcwGMo82taA
rFc0CA0MEdrX0W4AITrykSJp3nUVkHRySZ8HWxc7HU3JZiAO/UKf+66M6jN+PSK/0PeuZ1ZwWKn5
q14U2O84c5NcxigI6PZZeJMasCEk0Fib0RiAAHQDmI6h8+9zAq83jh/QeHeti1XAv1QLrQTIzbgd
ho6wQ0VwoAODZm1P860t0ULHQw6g1x4H+yV3QhIH0mDaOkCG6WeIgK6FleORJuogL5+oy8Y7I4/M
fWqb/g5wO/ZmFptrlKHj1ml0PISc7/taDT3SwTGtuRp2Zo8s51U8LvLRwvGcivRMgPR10mM944rg
oZud21TmTNkCFq93fVg3H2HNoKapHMW8IIin0d0ymcO71cxfJyMCNE2mwAr3/yugmeLAXzevoOw3
W4YO1lqXqvKaCQZ/YXmCxefKS1gx4mn8tWGq5D0K9OpokNa40jtkgzrTbS9Jg3AbRcm0Iu+X15ix
Tj37442TWs89M3AvUNqTCcxsTZupurW1wt02sx9j9gt1tNM+Uwdagk26nh2rejBs8eBETbUvSnqy
qp3Fvm0IRxynBoVH1XUH0oFDVvkuxygieSj6isD3oKCBzJKibXD9CQaCRnqe2sy47co08nIR5u8L
l4CJCpOmr03xCSon7lTwfF/5IEUbrDjpHmlH/xQwRsZWMsrhS01krLUqBE6muMaZNUOloWaU0xYC
OT6ztMgOJLh/LQyjOI6Drz+YukJeLqZbUieS4zRLiQTUJMRI17X+GVFk8FXiq9yE3JsbXGXi4MjK
32q5qu9nvOXbJvM/1+hAr3quESpIC/FoE7ZGNHXcJXtwZaAy4wKbLsAOJC7iDuibi2g2NLaz2484
SyVREODA8mMseRLQ/QoGjR1xrEY8b4sxSk4AgVS6Qj8fDeuRrtYaakPxyRiN9IS+Nmm3ecsVYUKZ
7vwcP5UFYZ5Bmn1KrO5lqsfiMhbjdSSB7rPMyu5clWbpBXo6rtkbXjvUuBvlN82r2dhylwnC/zI5
7ZJCe87Bv5LGBfViU+V+fvxv9s5kOXLkytqvIus9ZIBjXvTiD0QgBs4zMzcwMpnEDDjgmJ/+/8Aq
qTNZUqZprzZrM6mrixGBwf36ved8h+5ctkvkFBMS4ZQPKEO7Sx995F5nEzxMEgvGXLYPlkzAOiSe
2Db+0L411biwc1MUbARzN5Br8biVgrU5J1UAC3EV34CxrQKlY2gl5AKbramDO6KRMVxPSfsk56rD
ntAzQiMWvJxHMlFZt5cOLHDRTyQpg5ki7WfZD343IOIe6ChL90Is+DBEmqY3FPY23BjytWZsc3D5
8Gpvyql6JDQxDaVbkWqof6uc9NCPRncseuI23EQJom9dkIvGwC5sTuiwUnvZF1pFh55M69p2w9kB
ELCRUvNOfk2zWpipC63rnjwtAi77HLbayNi/ieWeUj7febGP+j7JIIMMPoYBPn/Tlva3rrGjZ7eE
ai113uZxdnZLhmZQNg9zpzxspvOp0/pHLxPDdbKOpIf2i9/RCjUT7RuMnUdh5hdV6tzFpHOhdDGu
SKr8HuffQR8P+2Y1ouppfN85MK3KRp7WWUhqGxdElPYBDDB1TiL9ecsTxGDCh+AMA+NbPeGfjEUZ
sEth4ZXDHqhV+bSYb7TiitATjREYJJgEBRrsTW/PgLBKld73NbT0TlUP7eI9Ok3G/zYv9L2/TrV9
nkBNsAQhuKq02qAv2iysSiYxwj/A+bpHrAzXr2HkYK0e9urSdHK+uxjqjSOHcdfDlNh0azSY0BDg
Wzb9i6QRx6oam3B0ituMt2pNcH2l7XB04OpphIZuYCRjUBkGKBNJdIA1O1xVfmxfzdJV37GF+zTN
7GOOF/NEQqsTDtGIGXSMXuEtcTDnuH/frXP29ZDPK0sI8beExnNYKiuIo9IOW18vTnOOfklEjN4o
pZxmZ5n4LZMCY6SaGEN7BtEZflVdkKczBaqaqFVk5HO4Hy103BwR1Ii+vsfgXsT84Eww35pEH5Fi
bWHFr7nfnFsBnmvuHSrSK8sc6bmL9ivgxFB11PkVKcmbMhf9xo5Y82VMQW/6t8liXqD1eOrm6rJ0
IEVXE/c9ZupDj75oj0mySDb96kHvyBNoBxPVfSafM6gnWzAixGjVr65mPTmF3gWMgUGFSsVNa/NH
Kcz+mnjj8nGiGYri1i4QmsfGAVQi2NEIL7NsgDmlQ9/tEwY4LCl1dnIrvUUIAByoKUdqW7f9SqA7
jEjH4Zfq2bgps+HKpnG/SUqz3i34Ld7dOTGv0hqcTAtEJJx1vQ41H3PKnOsXFWeWMOP8cxpJ4B17
hzx10V6DqnE2tvSa50RqRGYyC93TYrmDIlqHkWwCe4gvPcrDK9Vo/W5i7diBg3Mual/kFP0T5+bU
aBuc5TqpTSjQQt3hcOxV7RMRGYS5IHILESnoK1mMWOfRme6FVnF0qSS1ZDvqpA659beJH3VyWxe3
58QtZaIsD4Jc2D37rX4J+RMYXJ1X6DsPpJNkO9wS4kKfmwItSZ9d5NjyHhkvO4/eZH+PJkNshaiG
fVKY+hNZPN0ByKp2J+GBvo4829dd6zFgTOGsZ6ap7VHHDXucPMiHCkJ1EcaUO4s2ztZNyI3SG4w8
zE7I3KDuU+6DzjBRA1pqhjphgxDc6fEFBa7mlQUo+yOJITp+2+LLjFkVIl6Sf4vipNohXZ/JtKQU
6jgiQ9DFajthkNpiEuvREFf2NiOj5yTbbv7SLzNReq2zK3h9Q10Z/TGyMqz+mT3i2oin61S3CYOx
cox/LpavSjk3CY2oYCi54wja/QNGXYNUeNABcDd7PF0Kp+DUtkfQnDtocVPo86JzlirbM/TSA8FB
uBzwEZUXPsYnylgi7+3cGLfgDpOjXIZ230/C2ZdFZ5/xOSujLE/2iy2GQ5SPHuMp7EGqr5utmVLN
cwC7G5Uw4fZlRuBM3dvkm+MzGS1fK3cpLhoEVk9FurxxHG9v/bHBEh+3Wg9yvSf9Om+HM8IoHoSw
n/hYdYIld0yc3tqphHJYwfMK2oiWm5hUSiJU0yaXQtfoDVWtMnclyKKDX2qQbcuUkRq5xWS+1zK0
kzqKQw591hMyLJzdbi2fVvIaJMMaURgcMjimAMyCGVXQDb2K6kFqeKJbP5EvGem0tyTd69eiacxd
giUfytKStte58F+bovRv6cetSkqzwyAl15yEJQs6mMs0mHoXo1/VfkQA7Rx/yo/DBAtENhHmZw01
lkY8QSCVVzFCN9LTnMzo1Oy2JoXRqEdGtsvXUVn6IV7i+Tmp8SwWWdbS4XBeXTT3FAc+cTAmSTsK
DvpqUIQXCHzi3Bk4aXm+mR15/G58y4FS2VZxQ9ixmZwDc8h2S12T8T4M8Ju0nI7qGUxNgJ6kFA43
c6Zbb/jHG3HSFvgpw+iaXmA6i/uM240UImt0J3tHDm36XvOQuWBj50yeJzGO3qX0Id4VOmlMO0+b
yMy18rZ4Hh2732nzyElv6ZZ73CfWXg4Fu+OMM52pyV3m9KyZfgv4CS1SmHnGtPVW2jMSARXkStoP
UY4qtxsuPdhap8LFv1YTscBjSM7LRdWSPJytxpqN5S4KGmSFpAkDRP3IB7UPZVHVz/m6dhp1eUle
SR5mlXTP7cRnbm2MxABnXlcBW5bmCSiW2C2WWwOjrJvoACRweBibebnLo6G5T3PTutDxbWIIwhCo
V9qMGD2jy66I2TwAspsIvnbTHs5xtEA1mA3WRKIjjI1Ww5IjI6EcwE+O2g4zKTNiK9GYxHZ9REhQ
TC99bgAd5DmbAaCVHjyb06giJGxUvjj56unjnuT3LuvPZV96/fe2sknViDhM7nsutXfO/p3kYSra
28iG8m3kt6g2y70/JFNg079k0q0T5mD311Zs2Fs6OUOgogEc16Bd0nBHIU2yqQJQuYuZI4SaPbaI
EWWzh4qzlWkmoWVZga9paqtNuS03g9/kFzYoZzCw6pEk1izZoiIhR7SUzgsmQ3HwB08ELXDV3Yhc
kVlZ1yN+1CPe/xJqHzHeMK4k36pLnkdG7mgX+mmnGbkOS2R8W5SAJzINy6ZeRjxjpPaNcF7o1GJU
8iL9Wq2+MaIREcT1oFmK1LUOVUcs3Zzkzcn00lsH5vUORdYpsnTchjwtmHvpChNAEvUXrsrE61Qj
udiWGYnl1OBwa8FwIbuL4AaekWfe710XkiiLl+69kU7h7/tZyCfaH/Km8lR3G49e94yVIrviynMu
pnUXGkPrXlHLjYEDwDcsefu2OiCNLlllJ4sxEWwfL4Tw+UX0Sg+WCh/BljyrAAzAJmTN00HRua4b
9nih8t0YNzILcnKHUCBaWDR2uhEt+hajJWPH0iZGBEuM9B/YS3t0U9CG8EmilKKJWxMheOz8WSKv
KnVGqh6Zywvo2IsOp+pD7gzRzki85lzFAD4iYuHpIqXa1xn55VSkkBPwuLLyj+rWHqW1L6WhX9EW
cfnTCrFvrOjoQZgg1sunlvWDZmpEcSVzlulEYO5kZhlUwFRsaQ1XUVFsgeCozWiiyKoqaJ6tfO+X
9qHqJv8Bc23FthvPGcpQ8Nhb11hw901PCyF4GwtMXpgM6VZTebLxJPbHek7TU1zTE2Kgc4yLVHtU
o5Zu/ZTeJW33PCCVJj1JgKJlmVhhV3PqaoBewmDxOcwOFtJglbTmkQoW6g3SZVAUeseuiGLGA85u
gyqqgtYjx85SI25aT0sAIjNV0S5rZc51qJMZgyTL9ZM7tFH2GUVffRSZU+/w/so7+EDoudzOgSkl
S2LbAxoeTrRZCMS9VmZlkSGNlvxej2VzaPOYQyS5IJKIichqT5opEJXN+jyFuaew28a0NfXRdZ75
XUvYIZ5aBxU27NFl6Mz1xFIgVkHwQcezMd9m0VD0wrCGXONXBoZPr5EPQK5YLPNhbSHnJLm8W04u
KIU8T9tnzBDY3uiXPNlT7j6TR+ueM5FaIwQN95bBp3t0hGk+gEgBJO7YWpJRVVujArin/C+YDWoK
Ga2sjjo7HM4pS8fKsDg07Xq75N3KhrpqtsiOjO+ke5kPqFL1x0jP5HvuVkh/Ox+ODJnkghFDkxE2
2fhW/tZotn6MpnnCh22ndynE/hgPILmXHoOKrzMpGle2zIrXAjMgHdM4vuqn2nruNZOISIVE7iWz
yQoDNcl/r0Z/TaTUODAFUwl005e1fefXtifJKrWMFyVjSB5tN5Qb5SXOdU4S7xh4jYqvtcWit5to
oUhgRevK797rStSPDJGipzIukRny7u80xZVHxFTlR4dK8jBX6fIEVyt5rmLBqwlfsvsiWs15oQts
fS3UrEi8WZAQmPCALEUJv5iDu6t4RAB9WRZbSp3tyJif3sWCtgpYYh9UuAJRPntWiZa2Mh81u0yO
5qTPF+04wmg0RI7gSZEkPXvpyaHN7DDH6GQo6zZ6WWiy8ALURfPFq7rotFBrU1QvRQtEiZesU6Ui
FmGw79m8qu9D1dcIOnHgMmzQzI1tY6ynzMsCI9e+prR7MLUgo6B3owOlNWIU9fGaqEnTpiLBr2x2
Zi3La8ZlAJAm4hZ2dlpQlFSilHezArW7yefC4+IQ6xRYAHEvRDcWR2ucveMUJfDtrVq+ZRRpkOyN
DolWRvQmOFpSz++VP+qE1OVlfcGC4SE2Jlb7Wsi5rfcckydCfETDKZow2gxielqsoYv4Gr4ZWTve
0LAer3U9au7swa2/201PDCGo3NMCTffdt2wPHoSU57HlIiYXxmC+231Xf8/FCt/UyCf9QjSl95y1
rXKx7rits/XSBskfgc1WRBgmVHIeVZ9AadO6V3YD1NrDqA4MMlL6LVY06zF2y/KtittHw6crWikq
EkKV0OO5RWxMdNybHN/lOL8AZU6IvqR32lNP4VZyab0vB9XR1rPJIS1DjgFc5F4OFBiaIxf9lJEr
XSItNnTmDVOUXs5TZ6PdZerKGhFXXmjGSXeWZOxfW8gZXTguDY8OgX9kiQqPzUYQeYBuziPHd2is
ibFV1YtLvXdp2LlolgPbceOXvpURzqtWPVvGLAE5uQ2htGVb3ybcKC+0PGU9KAaE804HefRGaUS6
jb/GI2YfSYnFR2qi/EhQZGIMy5WnOVP7yGDP3HStInbR9Svna4/yFGI5Jf9ZHJnjg9OtO5tPamMM
dFRttMrwT7E7v7YtGnkmx+O04WjNe0KNxC9gmGCQg1U3bLn0sSfmOO6XuFiKtzYeI1qWnR0kzoxU
xDDObeK/CebzrNbZm4Dvkq1LBxseq90y8DD5B/cGJoMezqwFOEDGZsmkw3AhvILqpnWmjOxbhOPh
6FopkX1F3BEG6up6uiuLqPnWzi6Cxgmv72ZgdDOf5bkGdHrsnOelYerAEIPDGwzsMj+0RW6+ZUWn
n82tVXHAXWZjPw9ltTfzgfDwrJtDB9chwzyvOo44v5udyzDtmlAEks1bq2c3UZH6tmQSvbkUWvtE
sOTK8qSaqBP5bg6Gf2Zrln/KUFtB3zK1Ap0kp7W5Ve3FPJPazqyWM/6ch5aDdUFj2rfnbIPHjFOz
fG+8Ac0ldLH0OvHsq4K5717ETXyflKWJqUJp0yErEeeHzO2TsFLWi41a91ZzMuubBt8A+rF+jg69
fsNqnK1q7QJv41j7NH+t5tlnNz/X4tq4LDDy3cbot38jxFjlDz/LQcBOooJi4wYbZFmrfOIHxUKS
666USeOtZ3qGp5yYryGyJ1dFJ1P2bUrVq8HQsgd9QK/6h6ry34JurH8ll0CCwhRU4NUyvE/6nkVo
jpf6k7efMU9f+Y5sD0NLQg9b4spdmfQg4kzGYFzPhjfgaNzVvi9DOeQG9Gv1LZfKDjwPgD6WEmjv
FQOmanJI8KGMZ94sjOsqHk3aMqXjEklZ2uASHKs+jVa2XHQqvVRiYFRh0xs0UWoVZBfkC+sKFTB7
PSDaus/FHkqbho7d8LZOxFrWt1gl9NG+nyAVbuxxNq6b1PmWVdD4NXfoDiQHI/KCSkOmZ4LSj6Q9
8zeXTqwehk/3zadnSxoTYFOGwZ9EbCWPEpfPolpHQ8m5Qb+2rGmugz6bsaogWYICd5hNn7m7gSz7
LFX9HPrFjipg1RiMK+I59t2gJEHW2/Sls8t8VOV6DQCknrSzSe857xY5BbCZgZvIwJX9Ri7zL5Q5
vs1AC6yigZ7BW5VzPzx6KXuJHPzW3+uthEUJIWQpAm+ZkrNF626NaXC2A5szYAGVnAxd778z8eqP
LSngB5LDtrZR5bxiwEW8Ct3Gr7/dX2V7ZFOtCC08hD7K1E/XN6aH5xgkluxJXWINJUeAGADCS37z
MZ8svqtwj/+xUDzyCrC0G58+RzIwtlQk/T3jT/JlBuGSgDe2/XaaCudVcIBnjcxlUBlRtY36wblN
KUKnLY3x/AzNjn9VzB6hez0viwT4d9WZPejsPFogyqT6PcHQ6vHXl8b4fG1Yr3XDtnWkk3htWDh+
vnENESM0JHj2BiVYFBYBCc7VaQ5mUS439P2tRz+/qvW0/kKggxEw/9GDZICZMJP0uUXMML/ZmT/9
4XX/r0j7NyLtP0y1FivEv9dpB2S7vaXxS5v8KNP+v3/zD6W26/z9w2rOhsCJhKef3QIBRkdUofN3
uHE8po73j/i3P4XahLy5Pk8ubwvCSQS8PC0KglHyv//DP+IFWoFvcBIx2fBw/wdCbYMP/2nJQ+2N
Cd7FsoOxBwXvJzNunzh0nMps3jtj2zyUTe0+N64RX3iCsnmDSWX60mn6K1LY9ju2hurr2Ks5cIYk
6XecbMFJDHW7o9nhP7eMQE4EC8Rbg7L6jbFv//Rxef/7MP7+YdRJ4Pvlw7h9eWtf/sYD+bfVI97+
7fAyfC/STw/mn3/lzwfTxA0AYcJA+EWhBUPknw8mKG7DsliFXB5AoJw8Ff+wEOhYyIkY9GyTDQay
9j8fTIEjgW1TR1+HLBTJhPGfPJjrEv3jVswD6bguCznLN1/ks0o5yzpgVlER7UYM0lk27ambQ0MJ
hCTW/oeX9vqPP/pjQqjxM7dl/e22gz0SLzq2RhrdnyqmuASjJ0Hu7CAGh4M73M4MllTuhlVtk9jT
fCl1G0P3k2+GmrtcxSUWp8R8LoCHinQ6mwqJGkUcfvOt/rKTr9+K+pG1gf/gfNa4RzLlkFI20U6S
xNPlzbFw6JlhCw+NuN0tAOFcrQyc1gm9vNr4JDfNkUV7lwG63XEIlr8RObMufbonXCeCczzqCod7
YgNo/6m2KBOXhhAyoB0timQvMusYV7Z1ixw5upqSBOuyrdHDK4YezaiznNK6wgi/2ADD88E64tD6
qtGDvok6ozgzgX6cWRYIXRd99NS3YHHHr+70rWDQNnQdQRXVBZLtFLrK5OGEhrwoaKTB0tmZitkx
ekFF+jSJsVtSK4JK2Bc6M1KfEBTJCBhB5oWf9yG17snRbkdR32Iz2zJSICZgCGyPwGliIta5VqWT
ee1EiLLqc+WIA4bNTdM+z6V21GB/LMOrVp05hLZvrNE8SYjTwjrk/uPQD09Dz+6MezgJ5OQere4x
GvujBzaEY8vebLttqQoGfPHNQk6Lm10Wnh0s+hJ4NpZNsjnspAOrBpEsQthjj3flUJ04V0ATMw8O
cBEcvh1Bix7aHKiT1FVbbDfwEMdNb7UXQ+KEyiT7C4ucxWfSP5L1EJokAir7iWb+KSspI+glGYW9
6QsEO+kQQq4KMs54rRqDuFBcHj7Gtxg6jbd1a99wPwGmAUjpYMot47B17QlwQbs1mtfEvRJVc14x
hEpTLxi1bkMZdpIWb+bg7XQkDlp6l4/1QWsvkQyEjp+8DFDILesV0OZXpb5VLSlkKIzz2L9SaHn8
VVZUHRCP4FV3wxQVXxyp/hKEhbxLu+gr3Q3tgmQJRkB9fqXJbLwVy0SiWcyjJbrIv46wRH9Dvxmt
ChMuWjmQX4XMtPiu5iq5EUtMYjaCkzVXbX1pohVJzAiTBsKda/TigUbmcFScd7/Qz4WYaPrxfhzX
9gRz/PixlHkFdY5DDxUjPG6OdPQBI7sv77x87kNiUdxt1y40t6pxQhMjpTNhdp+LAxGMnGwmzMMX
CSbPc7MnbYPz2E27DO5tJ8o/WUj/3SR/s0m6vm5y6v1hlf0LPWVfv/y4If7z3/hzP7T+LnzHZj/k
ZOK4RFT8cz80/+7gp+AwIdjczA+z3Z/7oYHbDuuOj+UCpyxJXWzSf1ZqhkXhhwlP103L4M9R+P0H
ldrnDXH9YrCGPRZeh21K/1SoCZcH0y7GcUeLukaSnywh+Z8igPS9EsCz6Te2sb9sPx+fxwfa2Om4
Hp+4Q+TB0LMr9JEBp+I4YsXvw8JWPI+MPn64B/9i/xXmXzYWfEjeikXm6G27f9lYesdmMpAk404Y
aIrj0rYl45bEQPkr5EVOKuFFv5jZvhAdeP2m9d+coh6ukQXlx9K38OU2Wm6c9BncKVxQxdky9+P2
ySoy/LnIne1Lx4mNU68L9TqPyLIDZQAWQLLiJfEGzegEbMWsv2sRmEzHy4370qOJH5ouIo2zzmr1
67QQKgYNsBCEkbnW985J6p0iZBhqhUJw009a8h1ZDxPZCtJtHRXLtd/QZkDdMcd74oOYxfXdcJMh
kT9r8GgOh8ZiUrfJEzQ0m96NoicOEvRCBNBmRqtxgeU2JgqUNnGsuXu5EO20KYuMXDNiWHFnK6sV
xOq6Q/teQrg8uco5ujHPgzH0YqcRtFjNzn2F61IiKjFp1MfackYsSHXNSRgWnqDFSBpqEKfymdQd
9AC6uCEhpNpXKwGAXZn4WpFsGgmlz/S19nyG0hcAzR+CCG3PpjD8ItnScWIIltv5zmDMe9Jm9Zz6
0FvKiQiJmVihDfhEYJGDC5cty0IGPkGScAA3DYRdnB3ALOCkIan0hlTcjRLa7dwM9CJoxTrGlOxh
bVtblBRHdHRDkEuTj29hvugGaEZidmEKZ/wHBFSuztYDlsEPBoIm6UgqBp4WHy6cUt8Ong7Cl5Fa
X7e8OjhwmTFclBVhosKJX8eIR91QhQdvRNtDWL2p85b0Pa5obsKOjKzkriN6NdAn8Wb30bmRuxgO
sgJzBUB+OXmbdIwl/RPzJjLziZmQ8ZY5ZWjmDB5KVF2wZd7xaeY7kELPNv+FPuulaWbvuZ+el118
Il3VQJ+xoraS5i6mZQwMckNBcZZEBIRBMEwKTN7Sp8TwJk8w5oqaJj7PTAv+YcZI4Krp7MtUq58r
JCzBCIRkY47FGaaJ705PVz2fKBnzkpvXYpykcMTOP3Sjv+vR6BC0RdBs6jdEoVjepZiT+NKMptck
Uk9TLJydLZjY5SYhGU6k3UdmTKgkkILFpIaptVVQ7dZozCISBpyY5npe751WPJOPyw+IiIOL+Lhi
TOH4AM+pKB9Qj7sBcJEN0hgqAJ2PdvA6HVXdDdtW2WPAjb1JytkPonoEWVYUirQDXtS8Ect9pwEl
jZR7P+r80sotz4eK+2Dp8tUHJLf7WKv+u7n+dnM1OCb+8gD6/6q3l/Kl+uMImn6rXzmEHtUKK1M/
b7p//qU/fezm3zlJsMGwpSFgovn6j02XfCkcfCYYM3yjrk223D8PoQb7McZfn1aZZbl0nP/vFEpL
hYY7nmciOWmB83f/k03389GQzHuslHwzg2/GHvURMvVDO5Vhk3KwnbX7ZCwJYLbL10p6+Y68ToUz
qkUJuhTvGJjwafj5a20AJ/Nrjdk6HfA5rUkh9Sq1jaaRWIcxfRxqXttf756foIru+hUx21MMM3Kk
YeR/KgxAprOT53G790rgOUyZxQ6XnwkW2z8fUBNb5nTpKHS1seDNRWP8m+3733wBorYEl8rF5f7z
sZBaWHpk4OFSifkC5gLSShqFuTHTiHgnKRD1R0DCfZCtUMSwyfA9fn0NPtUqH5eAHppuYGh2dO9z
raIsJExFWTT7to/nDaXafZ+wBjbV78Cfa9HzQ1fizw9y+Ji1myfMTz/VWSKkw3Pd7Kt6qA/ENfqh
28nnuiG1zp99mHMO8jqGbuZmYI4eIIFm1DSJG5vMhfMSWsfO1MzoRaHa3LV4GGCSsaGt7wVgoqk9
9lU979uSsCBNspzlueXubAdsWtsP3Q4SMVVfL64JfSx4/riQc+N8YR531FvFrpU20Smu2O3gYs97
ZS/JxQz2Y7R4WsvlvjY8O7SmEZeDyt8NcyFDaiheYe15gPOiy8Xzv0OSvzUX9+nXd+hTm5ELxyux
hroZ5FQAHF7v4A/vkbtUJHalDa0JM/J26TR/yaKIM2vbBeT2rDnJsPHdZvDDX3/uR//y5ztm0a6A
o0NH/WMZ+fmDS+m7UqGz2nsqIVeSqIKjS4rwgcJSbKlx1TZ1lyGgHLDPAHVJxonsmq5XcUMZ/aNj
isPeo16xXd4pE13E1o8IZiDDc95DLuuQUArqzVkjpvU3331t+X/67sjl10mJTgOIkdPP313nTD7M
DC/3UAqqLUoW+yz+qJoGJKVjX+9ytyv2XdSVl5QepFEaxzXeo0e0zAbpwFdcFyBrCvESOExxN55i
1/Q1frQ782vw2KcBUQLffv29/3qvLZQ8gqKdBQmkJLvGj/e6E6mmYxQu9qPWkjZksSggm8r/uNCt
IxF79dRnqF3E797Pf3HBhMUhTl8dUlDKfv7kXpR0X/wWf8+gZEAEMZEGhHVtf/37Pk1qeJYtWO90
4Onm+yYLzs+fUhWyNLWmKPYJdL692zb5qY2S119/CIiQf/Fj6HwKejp02zzx6e6TSYWOGzA5Ou3i
nRjXll6EoniKK1NtIKzw27SRvYVe2a4yFjDTdvFuxNZyg/CDVmafsO9QNBnYyoMSCjNW4Fg/FIqH
HFMqGktdg5ZQefeao80o9d1LQevimJKlSZFI+T4YgB81c+x2KdT3HaKTvT6xvuFiFwHkNG1HDm+G
EM42zjndVTA4yKDyI/59q/G8zbxwVkRz5G2aadIOHwdXKVI/RHgJu9OXViiEepw6jzx2CbQ/6rLX
cklf7cy8IaA4OkUScoxFedyKnrK+p+en+9VBm3wdZanuh0WdvrcxdWWPqm5DPAXHqcHngTN4vqtY
od2RxStqxWlj5fEDYThLOBT+fcLDEWhdzvc2b6rUZz4IBGNnig71Mm/7uK7ezA7Vk5yovy3Sxxge
VtiCAdCRKptZL4Y+sywLfKBrOaviyduaDSGFpJE3AWesr1WLwDruS3GLiZXiIV3YiBfal26RvSOe
ZJgek/yO+hFub9fdtiL/7uTsniOZIPGIm3PA2oe7VqpdzgayzaYFe2+rPbu6VFsraglBS0xva3tm
FPQWkivWsmpP3vSraXE77AZntabYgYu5I+fHKs/tQt5lhn/fqLLkNaQ/mUcgyCh+TDaWwcK3wK2p
VHvrpLAoscFdUWDsI7d6bXVF7EtPPDTBbFjhJtoQUCxlgNrOIXHPCZumeMfxJ9AhD2dNN5wtZf7O
KYzAP1Rq29jih6qxtDlqX6C6EYFXDd5W6O5lHtUcxxr2ADTTnMX6Rt9Gkue8XrfMuaa+yg0+ah7y
d87CPLHc2dnFdWjU/CO9sTEhorWsEPVvhFWqLVFd7/WablQlrNZ6OnpbLanPJ9S7m4TDVlAs5atZ
l8VVTweHgZbm3ZGuES7YoRxTxwU96+2ZE7n3RGHyGylPz52MU/XHjaEyuFRO20HqY/P4eHbnkcdG
lz4xn2Ad8RWmr15EzWjH5g2wEn/fzcWrByuM1Ov01YBxv/l4cNuF7x1VU+hOVrUzSmKchXcPYgw3
D9nhf7wCJU+YYZg3hJipLToznkhLomafVoddulYbGn+vLqUJk40nCL8m5hSd10X2NSQzskjPR53Q
AmPExEsQaL6FSvb68cX5ulQxEMDDTGNPYyLTniGpVk/0GPyw74jaayTBJoWbSJw+Ps75gXvnEvu+
WyBUGM7Ed8KNSMamnxG/NpzXY01gUh5l4dRxEixZwLQ1CdV3aREs/A4eXcLP1hvMaOVGFM1zLXmv
nCl7BwPnk1SSvX4sF72bv3d45OEhsBJUWcwHKI6u3XrClw6D8tboOM6PXEQOA9RDC/UUVbK7GQhS
8GyRnRe1l2/zhlWJhSrfOYt8tkV9/rE7Mc5A4wiXIbQNKzoJJ3snOD66FnBoSoqkIHWwVreqwiUy
iS3r6VtVsJiYgicXX5baKJU+gJBlydP4uwNrbe7UXBBi6TEwvXbUV+tyNuMLBUXgXH4sSr3N8pJ0
6pkGFBtj71yKmtSRprBvOO9UuKh4VTDIvs5aSlPmA287cHM/ThPJWrA4qant1m3Hqd3Lj184zvn7
+ko0qX2zbgWuI246yRf7uAdS+BizNWh1FVjXfDz34symA7I+NhVeg0jYwC2M9lmHy3dut3QkZFyQ
hMGj0uo8jB8rnWexmNikBNUzIwGLTtaO1WS8Ut7c7SB94hHizcTvsPBveZZ2KFbcVLfenQnRbGCT
VLvElb4FWMH/SS7T6WMlTqe1EHPiYjum9CTY4+kbLd69W8gGf3JcOXwTbwrV2rHwwD7w1PcyTOse
/GZekgbl6/nWsyXbj2JF4Bnmz6/7ismUARkvxXPu2HSXoh0y/3mPC4YXceZCrk/YtPD/ie/2xmal
AZ3MrRprHrrWZ+Ehu4DHdO2leAO3xvQpKNa7q7L2OQUPjf+VVZ9TULVvYv5gA9Qv/Fh/oT/LAJsK
3bTcMDeaX9eHJlMdrMT0tfX5AAija++KF8hd8nMHWgIBaCw3iOtyrPGUw32aFbt+bPMLLSrmBz1p
6oNb8nabyM83+pS/fjwrpMW/kqb4Xi0AMPVsZsNoaSENXOp1t4l81sW84xWI2i6/mFyHBFrN0TfW
QDy6Ba93YwuMrz0optAdYBlbTptejilXlWwW6nNkiFnTJAckc2x4c9dcsko2Z6mVdMhs6Rkpu3RQ
9CQEkxqLH+b96O3q2o+2WdNhNlcj7tMoscnrkkvMGGntLZpMUcLBkANm/VTtfTeh1JjwCzX1c9RW
HVTdpvym+flyZ4JcPkNWO21j2d1l+IT3nHPSrYgM4xmmNIlu5VxREZvpNumNaGuaWOzjglDOhWPS
UMdraSCH+tjaiXttMFZbxY8isEYix/K5qZnasS3kCXVys7SX5v/n7cx241a2Lfsr9wd4wSbYAYUC
KjOZjfrOtuwXQrIt9mREsOfX16DurVPbacOq81IPZ2Nv2EeZYhOxYq05x7QQ/vtioq0cJq+9AZ8t
92201gV5ZPa4wB0dzeUS4AFzz5rFfj3mNeQ871LorTu293bvumMKMLRSN5lL5i/G1mw7NiUtT0F2
advTzp3KRFCjqIEDGr3geuaKDbb+mS8UbN2AZcZS0HnMmGw3shLwZKjnckWuhL1cNgMQi+sBpgrk
cac9SEvn24wmIB+f88M6fpjAKrpJF3KMM8vq97p3L+idf4OgO/4sOp0CHyBmdEQlveUA9V3664Rh
/t5PFM9wb1m0sNyh/x+QAysGhzwNmnlundGZNem8iQYdUmxnHrNw52jkNJEd5GPRwLiO4vnOIJIQ
jTJlokkg2kzvMki4p0l6TUjXJaxfGn/D+Alx8YX2iKULskqylBs/pcfD54/kHNs4OCMw8C9ux6qb
K8s5dYu4RyIOWkObV9pwil2dsGSaed/udGYZR5WlJlbiird2PfksBbMLc2FZyvrszYLWvE9T6idA
y2yFdTp/cjqh1ju8YPpkBxK1F7+NudEg2Q7Kz7XqxaVYzOfBZqkwrPa5jmlxVIXS35MlXOOR8Qyh
Cu8AAlAEp5Na9mNBxWRyhsNvadgsXOs6Loziau0Cq4TFAUVYF6EBR3EoSZ59P9G7IcWd7/CaBhg/
2GSse5Jg9aasM0LVKp7bZn1EOTAfxDi+hgNov6Ie7tHKQokIK416GffTwlawfs+15W3RfTi0q5Uk
ZreGPpG/9lb6WrjNM0QCamTXvG+JbN50yAC3QHuni/exUmb6PcFOyV1djldytr5xgFR7jE76sjVt
/Qn/1NecPS3poLvZc3gxahY14DTFdT7ybQKqKngeHdX1upxiG1iui54dbwiwEoxu8ETL+VXO1RUF
xnS3+JOmCnSupaauARB+ZeWZx7mRMX9njxgvpuoxtMdosJl+dXbJ75ppD0Z3nt6Z2pJf4S2biFWX
Llo786XgCZMlT0MP14ICi2ta4SDepcIPPjdODV7IyManShl4DzSPG2PlYZsl5KURbbud11543FLn
FCqdbgxcNf3GC9dFuuK0MgyS2rvtiEkbqTHtZZAwoPONanRzRHd/iM2+PVkhkwkjfUvY7bVmH2pr
9yZx+J7luqN3E4ewtdxR67OKFpmoHkEaYkJNwOHajnJnNiKDL0ykLHtmPTcllBxOLctEgwi2My74
RD8TOsx5YezH20TyShFbw83G1nbo+jm+mOlMYj4qp9vC64oH1Q8gl0wrMhKGP5OfUt1xoo/edzmi
beqrbGDEEoo52CWo0K4SyceUNs/wlDrLtwpJ9Q/83eGWrgVziLAnmBBcBRQunqZwjuOXcmz5Kbp6
MxfTfK3iob4q2fXen37Om1FHysIFh9U3mhD8VqX3EEzZwQvt+5qu/bGN2blyafxcG1WuWNSxhw9/
7eJV2czFugeuQxliEDAkUkOxKCTyXhMJzWYWyi3ZNeQSm+kNSJAAhb5TILZAsF+43QVYbfDBUl7O
9rJEQvHxq3dkmwtuR2bYt6XGvdMLJofILKwd+ZnhnqedLa7nFg21uH/fe8OJ9zQV8dPfD/7un9oL
MNYh3pE0t2oDf20vDDkKJDAqxcGALrUrHBq2btc9K0lTMDehFyyYEPgtuMvdUi771K56lhr52VVf
cGk9mQFc+DHloLuWGSiZjQjh01MxJHemPS0gFFDDEu7Y4yc3sRaPw51XYdBEFksB3CWf3huZ72ck
5uE/sOekb94ELsTtvHurWOodog/ryvbm6cKTU0UGtUVBN6xFqc8ZqGNoynmpIC2vc6m9DJOAifUQ
1lsOoPTgR27E+rJuVbgVyVoFput8kDMvNPggPhWWNf37LXImAmTlrekqq9DtrCOVY0isEt6UQ9xy
5Aj8Mb5omdcePZuii8TDz9naSuX3Y//ved2skaLx77f1D00xvNR02QQSs3Wa8OtdBaGo3Mwu+kMO
e5MJ55IeW02dlEKzgpmXg3byBpOhZeZ80K6y/tBG5Pi+UmAdFgx6Sb9+NG+2hS0/7A+BmoaNy6K+
A0Bmrdns1U4sUn7rCcuLYnPBweHmd81QDY+htA+zM1nPf78MawfuvKXpmb6FFxwjKoKyX79Lb/em
TJuxOIh1EVgbBqLjlfYh5ETaFfcZeRYfXPn11zv7SPqjK9EYFSHhHme/vlN3sNNpSh3a2AmiUs1w
1RL+zSqbp6lFi0RyMoHho4aBmAzV8e+/8B/eZuYEfAGIyO+jrF9/4YqL6nSMOQ8KFALppeAboeS3
Hzzhf7isdJlt13MD+p6/janYTeH+UkscFisTkPxJeIMr8Y1B/E0bAp7oyuyDTzzXq69dUPDOiEbp
b1t099en7h8dfQXNlLKk6g5JlreXRCeG+wyhxIklgVbOGDylbJ8badI9W0fr1VTCCJgsiX9PYS0Z
sh9L+YGG/kwi8/6VmCOilOFhpwl89nBJg8l4aEresSL/hqJz/vlfxW+RU+OVk/oApLtOGc+eLBfe
sS/o+gfhOoj89RL02Aq8uC7aQ5D5NxoA9K423DpqYpFtTapmZBjeCxqUTxIuYWn6n3TmGZshG697
u/jRBSOWajdbPgg4W6eyv30t3P0IlnjyLO9c0u0Ek5wTP2kPFbzUrV9SPHuKpaY3V2WbbZ/gcVyl
NMm+OJ2UK52JijataOkiGrD0RGOKOm5D6jQetWbl0HnODbQnYAV5/t1rj25H2MciKEE6/+SgdSC6
+a1PUrmpkj6PjC4hRIlOjb8kJLvWzJbWqWPhgXWwzRUFWHVQUJ31bG2aNuZ3ZKImPCEuDa2sdWz3
vrHli6lPf38bzx0+PCLrJBkPioNkC9Ly2bA0tIap42AIYyrmuDC7Ktn6XUKq6VjRF/NXxEdK5NHU
VWKDJ898/zVprW5FqYidCXxatTE73ZLr4kKavRG5aEGiYa2bl4KqtK2S5ZqWBCS3gE4o3P6P1rNz
2PD774AOB5YyumATx8jZY4dh2xWaYpOitEWiHxg7emqwqX393NsExKVedQWyVkdW7iv0EqAIR1N+
sKz+/vBjGsCAgMXMgQUszq4kqbOOHPxEHfDJXtiwPjar6gX/kffBB9m/L6GMDsmVhLNAoJl/vtIw
BYlhAxQSahtdwZy6x5oxlCm/q9/KBX2P79OVytbuspr6ZlNDrUUqDPaE2NFkN8r01eYID5/QvvIr
znsFR8B3EU6znhlrDu/0t4mLYDbvlLThjJizy98fvD/dNAZ4DEBd0MzI2c5GUzUnV9taUnlIYfPu
7BL5qK4nua1aqk5YQ1icx/7Hel56F8/Ah3yDG//BivX7AonC3V21+4gYf98mSrtvfWlZ8mCK5qcT
zgCNbVLUIIvZW6zSH3ya/fsEy19TikPmvg5Bs8H5zovTOkDSKJlfjsm+kLiS17EkhI5kG1qJSwOX
gprwaLaIQCS3EC+em6kprr2K4l6YyasMrPm6FGo5Dhy8N4XAOicqTvZG3A7XuTPe/v02/b6P8o1B
9b9bD1YZya+vlnYnvyJJSB58Y84AispuZ2DUjnqT8xOtbBRkZvnB0PIPBT+VEE8E+QQmy/b5mwQ1
ORgbZTcHeK08wo0jOIhP9lXeiGmFsdJPTeqKEy0oKdpTl5gG7t97hvTbjaiyG3OX1bQQYgZF2NgH
uKWuY6G+B/KlqGalwxET0nKxc9zu2V6ot957IrXFwWk16u07f13NyPo5luv4RRAxd19wotpWjZNC
J/MFTD4k7qRmfioRXW0sg6GeBIwJE6SS+9Rfi/l4DA/uOqFE6Hk/jfRJ3mcbTQn8hpnb9/Uk7GUd
HzeZTCjib44xTVsp23G/LDyGf7+Vf1w2PBD2FhdXkJVxXg0ES5ZqcFiHZO7SO7jJNAU4vuxtV3T4
4mXDHsghF33jK21zutkuNxoHYIAnwIaH5WkYZDM9ove1vrJHRqNzBgZOQBnadZ399X20KaQVovmp
9EXFuPsmzbkJf/9N1ofu1wIWbSzVBWomIlpN92y914lgBKv99lD7bMY9sJPVGc8rIdLhMoG/vCVQ
qPoqgtjfoQUtPtgzV6/Z+efb5BI4aF7QGlnn+p4wmAi3mWrolSVTtMbW051V0O8PSjrhDpSNz7V0
iaNx0uLUY73Gz8AOORn0sbP139wCbkdv+qDrFh5T9i4mSj4DIG8W30yrvyjm5tkgVR00A/MHWhuW
QZ+P0IoojVNkknKdBrg02XOakuRyrT2+aW3nLjK712oUn83S3UkzvNKDnW1cb3H3wBPo2ifhG/9j
6FEa5k90zOWhDhDYFD7jxr/fpD9UFoFN9Q2YMBTsyt56Ff9RDw/M6up8TJuDYkjxPiCoxDoStpgI
yYzXcOnKcZMUywk4FhjzNaESDgjDA3l6H8MsJqJaqUNny259X67rm/Ke8FRjNOjk15qJ/i6ZmUX4
ZjUf/v7tf1/3AtujouC9Nzmmnp+R+s6QLSrYBtS1OFgx88V1qShmTsXv3agyrj5Y9X4rnn2eKepT
DmUgD9jYzzbE1GpjoL+cBGlty80suzVul+34fRbTvt/enqHQwPqCkgPRCFgW5pydCjYOZPtIw4mP
XMQsG6QaHy0e5xvl+5dzqWt531bV0Prn/7iZ3hzkuVHUxSFLFT06zXeYKSP6dcparlfl75f/Dx+3
vuIolRzCMTHw/PpxELPclkFkcRjd9alFwzobFFSi5dnh7PhRBRmcnxB81jhWFBSdCNksTo6/fl6q
B6aNOksPaZq6UMCI8U0F8I5JhHtGTSHwzoKKBEg8ewZl6DFzCaKyLKO+EY3wv4yiCu/yAUih09+2
XjBFCmr8RoyDikbe0R3dlfayDGR9wPbvbWRXE5fm5CioV9REtnT1vs344dkArobZ9X1GO/yU97W1
b3KIkUZjwyYOAnnkDCPSrdFk404AYNqaTjqAdBn3dCRVpBMFW8pOnAu0HAYTleK2nU2Bu8t3Dr7t
cA0RlF95ysh3oJmTW1xiEIUHY9iVdRDseohqcFWMV0vSTLVG1d+TDWTv4Wrk0B45qcVwwGgbQr/H
b0VbPWNOvauLyrlAoOqiAyvCfIdNj3RMKbKLPtcDPE4Bwm80Yufg+KRMhMRyXRkyTujvPspO3CZp
Zu9wn7WXARHOtH8W61s/hs6h8wv3gxfNOS/UCaOnCCOaZLU5mpzXf73Z4eqXMEp2eRQUwfH93OOU
qEbq1mSyTS2V25V5K5WqD7EcBWlsRM/Zcr2BDdQ9fBCgtXNM8htf+znJAOn30s6dfYD0EJvFCDKU
ByiaDXIWAxZItPO63jNEENu1K7EPnMV4mptRXIXrj8+b7rZL7SfXR20yQkWPQrd3ol5X9dHO2+CD
htP55oXsjxeKN5g6hoXGPHvUWTmxM6oi2Kd6gfY/Yxn4CBtxvni+f4SPwnD1rFq/uVc4hbk0AlZi
25TLXTPQfh3AZO8KCfq9BTbEtTE+OhWdFwV8KGsnviI67OuycbZCJWQS5F6q/T2ObRUx/NJbWD2K
sRv+gcBhpGc4bntqiH3bQkBrP2hrWee1PTFPtDywByFNpK943s+cVVUOedXAmvMk9L4pb7nbzrLL
8/UDYzc8ybAjDcqyn2g7FIdSeMOnv6+a7wq4fxZG79+BFjmMFYKkw1Ug/s9VmtdG+ysJa597hQHw
SLXEHjqag7gJ1VwPWbgFHNi+TOYS33AhxU0zoToF+R88GoW/7NLBJysFbsm+r5bg2WxtLqVqqe5S
eMVFqh9GOBknV/v8Oh1AM6WEd+XLUX224W3icagJKgBTeOf4iSRGySg/KL7e07l++R0pYAH54isj
shvH/1nxN2cdyBq20H3PW3U1OnramzIhdHNohov3XyLs0/LOHBP/CgqqtWXwGG9DLKa7EhrtdqEE
28EY0lsnjZNjmKTBzm9yg/fabE/TYr9JtBhHY/CQkAXgsrPEuS9sUq+lzoaLZUnbY6k8jQJgCQ7e
5A9MtdvIcPMcNQfg5tLrFhQ+zTpjr419Je1lp2N3k8gU+JxW7c3E/3MvvQGJRZo8zIZr4B0Zy7t5
kaCkYdgSEnfhjvijFkGwTaLS4drO/O7ZaNYg9H/xGe7+67r90+r9nhV0fjlpwqOp9GkF48v79ZGR
YRhnC+emfVJoeie9obd+PlxlCc7bisBopxfWfukswODejJmFjhdWWRkciwDwKQgaTFzMl8lD5DXL
6yG9VEVivqgVPWgu4XLJT/GuBqheTIRFfaSR1GOxSb1DYQ4rNCm85JRnbtfsFQYqrdgrW9WI+my9
Nbzmc1/iJgWJ/lTRkN4Vi/6oshG/rVZwoDht0jZywUrQLv31CuRZN3u0U9w9JLL+Fh66880m4Aez
luARaPvAjvom6A7dOBl7xyBmel5UemnlXXCcRSZ3UMF7XGhN9QnWDfKOjNeuWFq32ARuDt1ulDyY
XmLsNOK4nal5RuaugfWWBfm2NwPizOFjEp8CEd0Wj+PgPAvDIro79B/jNPvBWQcUFvOpy6oz/GOC
aOM6qbPgrqOejECEqygcSo7jdSp3FbSyg0dv4CAY+e0ZTPKgExkaTWHpfNDD+a1KW8+SFsBYwtjW
oLazJXeespQZJc/OULpvuA2Cu/Vd0XiqtqOFRfHvj6r/284luEUOCjU6uVhLz8XMVU+vyuw7Vljk
VDsygMJnhGXppVxqa2su1bR3zDi/Sb0uvbQDzYKnKb+skYs+DYoKPhhjYlKHL0MYX42Jdx0vQF4t
VD6TdzEnpLGomfd6yJG88nfJIfaWnRHyXOqc7cMeeZsp29+aVi33doOYz1LL8JMYkvaIVcxicjjV
V3lrelGROMk+RRL/aRxK/cDAP95ZdjoQZUImt7DRaRTCosXlLYSsYti6RswVnpjI3nf4Y45hMbNy
LGF/XXm1D1u/GYgRZlluZVHs2/XrMDFdCW7V8Mkl3n3XDmwzRkrq8Na1Qe8DZ+YtJMUd4HNjCnpr
5jcnXhF/g8U4O00bYx/qirbzkBh7xYXcpL7lRSm9ICpQXojl363pcc1ywgHggB593SV/fc9azyuL
KkEVG2BUZA3h+mnpsjk1otn5Li/E35+X359Opooo0imxOKi756d0r6hRBi8AK0qYtMy3eRuQzYUn
NEfBMV3guP3986zfC0uObTilOfEiU4eBd/Y+BMjbCChKxB4dkxNlM8rQFbJxBRGsI0nbTC8naJkg
2T2okb0GN8By4RUwskn9s6C/14wCSAkgrIN/C3s2KnPgVpsNaQeTb3UHSfYbCsxGPxBgxYC2Xjd3
N9bsPFl5B63jZV6XESgUMYprHjrPKl/QL6qISGWW9yYzdgm9yacmYLNbvOC6HFbgMcgE1YTNbhld
4KHlCywJBQ2im/ZzEC+X9LXsyOonGiuNfmoXnnVrjTB631pJ+tVbjSf0GUWZE4UVgnsLkS8aEd4m
Ej2DQ8ojeNkAnbscO9EdGm/dTSuokYmkLiky9hmCy5aNub6rUNFyZD39/FovrG/FwHO+KB7xAiDk
EVU8e0/BstuCVf5MHo1B5jd7Zqn5QtLHbEnHhZALI2UKMCuifd7/tOR5z0Dt7bW/8gwblCG73h7V
dkJasJnXXTdP7fYkssLnZWG5yKyReqCbFi7i1J7SzgyuLcUAvy/5z7BLgmNLgt51nfJXzIQKoo7D
btc2iL/RfHcHnbT6JiPgDt1Z3LAv8GsarpXfkMW97ORgtVE/N8Shqxgfb5Vx7UiLOpSL98mb/e8g
XjG+lsI+8XYOV3hqnIgVjKfYnYPDoEpKlowy+v11Dz0uH0pTPsFgF5AhlQ45TwzRQ6fj0M7teH/a
/7/5PtcP+t4wCslAYbb/83/89wevhIJf/iOqOzbge1jc88PPti+7/0MMWP/m/+sf/sfP95/ygaXT
gidgeau85F8V1G/AhP9F3NDL9/Sl/I87/fLjZ5v+08n5f3/Af1s5/f8UmC5p95Mya4X0mP9l5VzD
hVklINOxg3JQ+peT0w7/k/3U42/buDUF451/4RNsD+jCml/Mj6MTg7vx33FycrBgwf1n6YcEAn05
jlGMYIFL8+PXBVkllZwzNqWTzrIkP/ZLW9z6LSxWkMl9N28m2Pb5EQC8BKcuNfSrDPK/Ig2ASE/6
YsRMWLZeKTaud22ZOGQ2w5TxTzQl2dclk6HCrY+DJoLsnFwsIFv3tattM6Kf5yQ3jetW2dEQs/wK
VyGtd42V1XrDbp5wjk6qNojwd/qfoZCIvdX5K4JPDhFQAxuZWyBe5ULKUBRzBGFeC5q+3NV2Eizb
ZQxHmC19nh2nhh7F1oataR/VlGushMuA8njAaHHn2GqAEy4l1o/ZhfFVA664p84Djl+oAcyAlY+S
pEsSLTPKh8p8SzOzWZBLBLzpQhjigUwQgR8trpJnhX8LTUkQz98dz+jugCjHq+Ky7rdBLscesqkY
XtK8nU5u4Fb0taSXfUX30ZIVJ9i4x8Y0mRN4ejcS/3eyLGC/gK0F2UZ5bYNqwazw1Hn2/Mz4CMB4
vdhxxwS5yY7EWHNccBZNJp+YYdxEsvWda7uyxmvo5salU5VIEheRLTdOVvXWo80eRb6BACOzJ7HN
Cb8MXa1Os0pbKypDE03CAmBZHebJgr6/AbKqs5NqW9e8DdbrUkRqcdpwn+ODCJ5a7CFrPcJ0N8ae
+czsEy/lPKwXKz0BciObjPxRwmk6cQlzSh2DIqjmWwsTUbKtCOiwbhM/YPJs+CRV5SNJlKBl1Eb0
5vTQZeZbPqs5qgtkVCPr3IlUpwEgd2xvtLJsvDpQ2IY5XsiV8skpcjIX64Po9qT1zagHEaiTveON
aHDD3n+ksXoapWGtzKg4vDDKvopEHj9SWuHvL4cvtnQ42XhMQXk+EPS5P6yqOtWDPo1TUh+M0qzW
2Y69XTXMkUMD7zqxHUK8eGweKkcaJ28aCuJTBJdOQT7FbLRaoeVF7yE2APRNiBY2ySUOrjmgtNeB
aJCFkSJ6Vaajz10V6Q8xtOUhEHX1Jevc+mZwCvfYrykVSdjg+w9TonqGNrktAulHhNw0D74WzQ1z
VObzhbtECxO2VVBG1H1STo+EiKrN3BXJae5HQAm+ry+kl658gybe+RNJaaLJcW3nzqNqrIKCKcGM
C2Z778WliEQ9Fhv0VGRDEj2UWV1/rZgPK3TsdFry2e2fylTeDVKjbDEXkEz4S6ie0+42TsuWKmXu
qFVQdLlVjrTKZhvTWxIZHzhplIg4jce6lj/7Prsr0FeQQ4Q9pey6DuJBSxRAx1uWBAZCPf6E2XZR
A0YOJYuR8yQGnn8IVRuXZDWilA8WqZQwxhfzp86BzOpGXkrPB/g0eiCaQsIIdDG9+XV32TNA3arR
4M5LB1xTVSwGwmAyN8q+Q97g4uR2SgP/NoePZW7aqzw1fExh0Jw56E/b0ffR4s7u8mzwvfd5Hi+c
y4Q6ALIYr4O0QBEeGOMj+uJHr4vzi9KtfDwZ5cDpUPtRICYRFc5U32tyWiJI3MmGUfByg26pF7u5
mtxjasUAHmjU9jsvhyizFYLI0rlUBgGqsT1/zvKu2UBkGm/CkHgzr/CLKEzdNSBMv0nlODuzD9TF
5MXOPrXAW3CoB1pRDNWdG9KTTrrWvphQhr42sq73hOfAokhG0CiiMxPEuSbNUjtmJYR/CHB8VsGX
MbSTH7IYkCL/Y1f9Q18CmtD57gQEYVV0mMyA12PDWZ+SbEeV5qmZngK7HbpdbI2Vt+uyZr5t8Zh8
GptOsMY1OAtGRy3VBohW/VQrY6Z7Ulo/+kSF+RVdVsuKig4ir2F7GBP0evcR71tsU6M5ks+V+jEH
aAa8pBPVgZWeYFgF4+2Ef1/TzCYyo/Wc4mHGheSUtHe9wb2U2RJcQ4kt7tKA2EqhZEy6Tu44HbLs
rn1FF70WZqn3pWih5Q51MSPp8/Erb0zFT9/EPjaFkOj5E0yt+dCzvl+CoiFZOcV+Aq5+OjJ5Dy+A
moybwKa2c0ocZLQXus9hbhAXMBo4vXoa6ZSypd521CEMod0cUTf7Vhc0dOKRMm69MVzmY+BponM4
+nEchSxtE7Y1Yb07anN2qyso2kEUai/ZMHEzfqLwmi/altSQMmnUstXCNB6KwpMRiDH3tppbh8CF
NHnE8R0thG+SCildGNPLapHNrea2CoGsBWjMb5GQul9qQzq7wQnUtiPtjWDzut0kJgNTaaYdrPTg
MXUDUvxwiObzJUl8L01nHYiKQldOT/5G5q/DwCnasIKrxuJ8Qz48FJo8bx9Ss8A31nDhqDe2db/C
UuisG8fa7LMXynU03CWTjN4fLjqjfrDHPrtJ4ypF/O14d0OWHn2asye2Ffj+nVd+1r5syMahR35a
/J6zB2llAwxyTDFYCepnSOXtzrTlK8Qpd6u1wK+0YMG1eDZvla+sxyxxv/tIFR6alDcPFUt/03Zu
S6BSkLYG7GHi1U5BbwlSDwdgMz/KWchn+sH0yILCD8UBm7t7Ixc52CzKrjt9CZfJ6ndhZcqXGVjO
1w6+2/LoxoZd8/18NW89xhpfLbjzNwR6ODdZWnuvYx4TLyIHpgmJ6xivHPVaZO7eAEHG6txDaJgZ
Qx0fw2aVe48kfXXfHdQXG3Kaqke7nvo08hnQHtwygKVHPMa1T6ridd/0IbwhpmHf3CpIHkzRiWvI
UlQEamSf78dk54kpizzPCJ4UnY6NyBzvhaoWvjPSAhLeRlOVF9moDOxzuGrMTVsaxcNYq5F0iEA6
WWTqglCJoly1cYKCo41Y7KTaF9NECiUrFspJvfSKAJ45uQEVFHI57Zxt30fGzgRZPcxNXn1Z+8k/
+8brj5RehNvODgRtR6ochhGTHl6Evj7KOVxY/YDqTxE8pPqz5+LZKObCuWlENTwkeRg+9y0n56wS
9Et0nDwsRkHJ45i6fuRrFE/WsnB3VcbWtIjSvPCCEUiREi4G8aD1r9KiHIhACZUbAcVoI1vbX2ec
Uhc0XnBPgH/Pv5Zd5j/P8fg2yN4wYZkNw9Ey6709Z2xdo5u7h6KYp29os3S6iSdkUZsWu+IL3tbh
0ZKleI4nHxSmXcG93iQtOQGbDAPbkc6Q820p8BGzKRlfvS7LH0D+hS+yVdOTRQbBVU7THQh1TTjB
WoW7R5GbQxnRgybUxCITZ0/uuve990R+lEbf0b+iXz5Fbl/07KsNTeOtmLr5mxlo4waFHV7AOs6d
cGPXcXFpiFxdix40o7nYww+z0vgOzK4NvnBi1ytb1zacy4YEFU4atpmAmx7nGNnllFVbaWgmox2b
xVf6R9WjOwbFaYyxnglI+BDHekETTMQkUbshldhmHML2gkUP0Is5D1MJgExV88adRvtb58uZkFUx
pq9z3nBoruJyuCb2u9soO8ZEUxZ+u1wG1NimJYvkcp5YXvaoTshYSNH6x5nXX6S5Tewic6nlM7Yx
W0ZWZ6EFTSbjU9266V3n1cFrM1ndI44+mozrI8nhieBfHoKEl5AYEpqPAcnHYqvpTV1hmLFOGV5l
zj9TNRJW2SVVuaFtTSQfoStPnZkZt3M+rdnjZopkblpK463rRY2drLKhM7at6d4sYUYTj6HmcK0w
un1dUsd5pc0449HLbfVz7hIAmMqLi23DoPm5nuhc7ws0qvBWhHizM9IucQiUKiI/AaO9yvyJON2h
GDY6L9RnC7UjwSn1VEUISQJSM+JgjMIimMk6MdqJWV+6ENOp8/CWZmX4wPWpb8bOour0Wv21UqMV
BbFT1zvmcTZhDaBQvlZd06lNFXS93sZG5kZWMk4nLYzx4FSsALvcpX2yzRGrJJtcTs0tpu/sts/s
BBq+Q9bpKBLnqOvMbQkmLQdsyXnR2ds0I5NsV+su/IxpjGhXt/E/WYY1v3KOIfQynzIhNgo23Myj
kOkbPU8zjbYOD9asx2fbNB8Je1FP1aBUFvVof24hO5jN3VBM6XFYbPcF66/PH81ld5Ml9nRS7lhE
SL/b51457duUmEG1M8YmeGxMXFuLyJPP81iyExWDn54qDSOfZOSAQHHMacWeQti4TgiSdPe9NOoT
ScIGIwMn/aQHz74gBaXTFwUcivwQ9sbAUVsHIxlkqb71A2wNJcw8mAXVtMEJ0J58bwi+gtWZHjXl
1rSzsB+fOCp5yd6anPKEBr/Se8h81W7peTrxPs6Nf6ss5i87bAQQzYJhPphqdF6I+9MniATNjWkV
02YM/RmbkRZjyHlSUoGlNCcB0ypjujM0lNasdMfvPqlcPxJZEvrW50GlMR4Oa8XKOvHCcXbAvFR3
/hZNv9oNtWHTgHBHn7Ionz8nY15aZAgaYYYVUuacpWUK66MaCspfxYs9b5NhcXaGH6hTvvTdk3DL
3IIJMdHZNkunJrILNz/5zEJdB4aYDgzxVv94Pz3LxomL28qoPJ5hva6bMjNnZ8d67oBtYGR1J5mO
DREZFURvTIrcotr0mwXuBVURQhjSSlFvE9dkluGykapLvi96cS7bICjMCJvJgsmwSopkVzF5vER3
pUwgdPE8X4zlYCQnoDc6jfCOzt9kSNlm9jkxySpUP91iDE6mEdZfXLdIP4f10M+bwTbHw2iuyY0W
DVWPVNATXNdgu+C6fCNeY+ZEjGwS82tVk9esWlKPZytukRq6xoEtSe2YMXCOMzmMVbbPMT9ZI5ur
xHe/C7Tyq69Puk9LaKH8szlEJqF34aNr2M8lgySQIMvjMM3mTUl3ZkfycgOxt51mArXz5qH1wvh7
s0j08q5Wj6U5zezZbQt9uOkMzoudkz0sNKUYlKflFxEaw01ZiOmpAX6MHmzBBsW1Nm8zH4VdWMv4
ui1N92LghX+aO0p/bZTzMfEnCFPZVL81gV/furZ2n3jsqYRzcWHR1T5NVtw9J90gLivPWi79xUJB
6jr9CXU+HIbOqUkjURtypR6pyfU9sm11CWgB/Q/51sfCy7yvJnfuNXagHHIGcveEJOtdvFjFlezr
7K715y1tKrFBx0xMzWjTZ2hjO3kLRPrpf3N3Hr3RI2me/yqDOS8LZNAfZg+ZTKfMlFJeei+EzKug
J4Oe/PT7o7qny7SZLWAOsws0ulFQSyVDRjzP34aI/vaWXW3yOjNR2fnDumTP3EymXZ/IIniljQKX
fNoMOz/yqQsvFa59EoJXwObPPgcW8HI1HOwm/jBcmAHQCsLW6oTiEJPYEFt0V0t71p5mE0q9vUQE
sIDxmo6j7Adq4OI8Wypb+TTZ8U1mzR4BS7uHw3UDrfWSLT9Ps3Vji3hO8rZKLs9/vcb9nSpCt4nr
JgEdl5dFzJ3zB3JV4/gtBg6Sg+hjwdi5TGmeWcrraiisYW3zCE1rlAjGqupMYnimzj0QLEfX3X/x
jfwd0Y3OnJBue8FW+R/zjy0wNUXqY26442EiQjLpm/YdaHwgG6i3/ObG8wpjKSfDLr8hCGW466eS
/Y/EiRZ6tuf9jqz+aRiFDU42iVpuc5pMDEIH7Fy9OTaK4MBqNPtZ4cK9QKrzm6dm+MVTGgbDb0Au
H3rj3S1GmvMEW+Mz8IdGHEhr3ot+0D7qKGTw7jz56Opm55J1IuOXNjYXM1xPcrceAwoQuPDs1aSd
R3E03qrSSUhxwfqzmWadvveoJTR8Kk0GCVPeDNhu1y1ypTvXzacj2mLz3JHRvgawzbbmmL0Is9Rv
WyGv3MHw1mIBLd0Fvqy+kUycIZyQGnrvaAPkat9V37Cn/IZAEXvpX9U3MCosqqeI5fMuo53Wd1Qy
Gs8ICZVaKYJogL+WgZ2GrI58MenF+xgC5ZGcHp7T7Hu6N74nff976h+/N4C4T6cPm4K0DVuqd5N8
7wlGW5r7EGsAdWrKF0jJlnUCNMl5Q8KQrezU9w5aKB4hSLpDNdYSVTxIaDpPlHgnPg2x2rKzoEVg
ffGWTSZfdhpM9vzjsueE0dhGG2/mfk7KiewOY2AjWnYjb9mSCOSNg7rK7Z1QNRjlgoiuOU209+x7
yRqXfStZNi9/2cHEso1NGvC2IqViWoPlsK5VfiTme8du0ldbZNWb7aJzDQryiMZnbEH8kuwys6/b
mf1yN1gOWDhAevVSh5VTfGq0+8abyO7kFxUspbr869dE/J0tA7iFxELsgQJ+gi4O2JDfSoi6wkko
m+I6iZm1zpU2SsJrYhU0tZkeilz3Dsqr84HKpDLcjHV542VleIrGEs+q5gw4YFupQNNmTQYgAMXS
1JIOd2w9ZRFY4KQvUNYVeeexqe6tgZiHitx8MMB4wJU73iA0vBnwShMlMBj9ycBQ10IojOEHuk9z
S7Ckc3Aild6StDYC6TvJFeH895UZIWUML0TUYc4OJYIMk4JUXd7zjpvXuITPLGbYsyme7TnxdFvD
7DR3XNnKc/ZRrGwyNxwGVO4Ofd9XbnZxnES/mKWBlq+0bPmA9KzYSWJ3NnLsqFMvzXIAeyMT65rD
RV086tS2DZNMG9hgy+QsExHZb+wxo/tOUdC27gwSHVjAq+LT7RpkG6nXMUja7UVQNfc0U5UWlGbS
L9qiLPBxp+Z4td3wNYJVeB3tiS67IS+pNmxplY6x6VPYGVounEXSbhN3kvvCs3nlLGdw+Plqsg0m
utA/85Ai63XW6WT6l04RB2PjT4vQE5Hhyu16f+/odXgb9n70npP7g+5Sxht6cbW7EWQEpCAmrTi2
+6ssQRkh9Ni4BlqceSoZOjNado6IZLUfdF5WG75cCz/sFXdpnHgCnLdSj/oU8gZgM131QwtmBpMT
bZ2u40qb7X474TR77YURP2hRI55UgvgR/61OTVSvOJrGIbmdm1YGREGaR5tTam25brsp4RpwgxBg
4kZG8ljoDYYY8qNRvWMvpWHA1K2MJcYJT1ik9J3jRjrvtZ+Ypyov731/IN4mA6Bwvm8ixF3WraPV
8jzMY5YD71BQtUqwzHqXIl2ysKuFRDK++SSjHbt5HX7zTPpCOdWgujOc9sJEhU0GK+XHU0LAUiHe
jW/Wyoe/Et9MVoPUZQsB7T5l30xXITSNYuZ4WCIcOL3pVnfS6lWC7sV72uIMeY0x2dA3yz32aXXD
WLN9C1oD2oVtSxZCe1XVI//NZmA6Z1Lr6kNNM9JmGGzjgKqqZa5WFst1589ATWRTpck+8ZwG/hsA
ww7q2CiPZmcyT6hvTHdc4N3UNl6UVyHtbeUDQWEv1NXzgogEZsiNr1Q4o+DvfXdbGSUdik5KzAtM
6XGMoIgarbT3VTo1b//6oIIg/T13SQQgPSDCskjERbi2cJu/0aPrIPMpkKh7oJ/9mtoEldanqr/9
/pf8KY77HH/UZVN+td8M9d8Y628W+td/eihz/vPH/8v/TI4bqd9itvvnHPf5rYirrv4Ds/3XT/sr
s239gsuXHH8PExB/icUi85cKJ0KKiRXjCnGw1qOFcX9Dbdu/YM9EeM0oiN6Ov96v1Lb5C25wrJs6
0tlFP/unOpwwG//x8SBrcykgsH0KxAx0fb9/PGzVsD0DDe+TOs73Eygxie7+ldXOvMGtxG4HTPOQ
ArvvCHyy1zKax8e8aeGfjPi5lr46a8qb72SYj0dXDP0dFcekxuSUdMxGBIdkwbmOpb6Fx5VqFdXh
kyW8/Izo/tDUXDQWm+WRsK87jagrjpAxerc1qjPtPmH+67NL4iHnp5oeGcyqWToaLdVRGO7GPtoQ
2+kf/Gny1mNIk/U8TNW5TqwxCmw10QS8VEnPaN12cZW6e62gVHXvN/54D40ZvcRV9RMGq3ADidYa
5VCc/IhF8g5Zo+8BOq6Tgp7TNMqoduN6DRrTIlXHmr50rSD/oCsUClXuj4bp6S4BBKI2htrdDnRp
yBc+L7bH9VwPiKqWus80il/6MaE7AHYxI2tniTZqBsV2Yh50ApieEqq9iGjp5LaGkF43PCLpamjz
6k4fks/BbiwGtRCtaTRBEhr60IDn6T9yY4QlJPikJwEQ9gPLubzvh5FAjUG77zs3u+0zR9tlg01r
XUVu/y2AgVetLDlEGey1QX6EQeVIQzwVkQertE6h0LJIL/YxHau3oUDR2dLlCtMIfRSQaUXZTVbB
zh7qOcuO1Zi1yTacBenu1Imn4XEm4LbfRp7mH/uy6Z5bUYeEQCqniXb+hD5YtfiyiPKkaDTobZSl
wC96HxLSBzaLVdPSPxxljk8Fi0DPHQVLv7JcxXjYk2TEIK9NPsJO6JZVzmFN/A8ajn41DLOP/IH4
n5e2cerzzA4M4Fgmcln2QusmwhFpBO2gwXS2mY4tA0SVCNL+xrbMxridUjihtZ80BAnplpu5m8Ey
cFf6MGLDXVK7IUwI/QbqiifMZFbwpJyDxlWCmJ+BBbuK86NLnLTctFNVVzs0pQ1/c3Dpq7ZJlb8a
jJpoevimWySFB3APArBwyUC9p5tWb3MyjkxAD9eVG8u8Rrj3kjXuZUyW4J9YF+smrvdRa0Uru9bP
GZloy4B1R+zOe1hZ9wymm8mwpuvYN/d2Tm7R0KlTIsk1S0smQiyyPbPm4qIjE3rd1iV/MjGgXM+n
/CD11LzEk6n95HEOSnIY/F6/iBY5HNn4t7oOLVUOVNpyRG39XFQBP+qXOd/mRO43Hp+DSfgl10Ry
2+j6Ac48DgaqcMmcdq019cpOUKbap0UVMkEhWrhytObiOVNA5W6zUgOrSG97cp8x19GlEz3kZh+B
5LvJashM0EtolpXjgE/7E8SekZfNeoK6hrostTfLgtVS7g7YMYJwo3mZ+XQZ9XRqmUozcAHWKXD2
zRKatCjPepw4P/xJ3hMIFQcx/OFuCMk5pXFjm1qUORim266ZvdyP2ZqbTW1MG8Mbm5MQCZBp6B0i
Mh0Pve3ec/SdyUWUK1NNArgRryob1ZRk2daCidopv97lldftLEf/pJ6jQUs7/ZRpeGNGA8znjFDf
arwHbe6Nn0Prpe/dLL9+czv9A65YfCcA/apk8qiHZLUnu0DoJq4T1/3D0lJUI7w4sX97TWJHjXLk
tf6cgVvLsbJvotLhLdHmDhyG3ufmrJdj/ILeFz547HsqtQD+Is5JfD0OLVvUJyWi6pYxP60nnsuY
YtXaSAmVW/bSp7IujA+kJrzPRj2gKXarzFWrLJ9pqp4QdgqCHOv+KjUiWsEiyTx5qA2bwwIc60jB
bY9l4Ps00b5PFvV9yjTLgcNyG2moZSZX7HkvAeFrUv9WnQ7nhIwguWsTbaIUW+nuoVaKY2pw5IcI
KwKuWrmt2A5PGSjfALtJUmK8AOD9CSnJcLT14iiSNDqaYZJsIL7GNTRfRNqu9NeigHKAJ7ybc2QX
2Cybk1OE9k4pcrb9nvJm2B3g1jHcgdmLKwCK9qfhlQVgtCw3ykTbuUkbhZetSRGKArCUfrd25pjQ
9XDmbXH0pObpRq1brnEIJ+l9PDXGcJwY9WlZHuxVRJ4oKnU0i7rS8oCFpXiKlD9fKKciIEjPr+Oy
To6TNKwLhAeIqhfK4pVDAbBfufPWJmUVKwc+Pv6gKrmBQvM+JbgDvr3kts5KceXoMTIzmSfGGR9g
ep37MZUybd3qyTojjI3KEU84x2jU3BtYNW3n9pH14YW9tkPw2l4gXGn1cKX8CBUt26xEqvsx2Zxe
vdeLG/qv9NsYwSpSNuPdykJjr49NviFRRBH1kdeXbCFtYoQvWY7t1lCEKQ5NzQqm9UdPYrV2xhrL
IAD6mmq/uDa8lWqnU9XaL5Gcxw2/uWdYecIA0phdERp0A6vckxZtPOR+WxLXNO7RAJEukhEzMJqf
UjeGLX6/D3K9imhVWMauitorE+caG9MpE8axycPnUJoBTNSBPeI9NlCDlP613vfQ311nb8e5+8yj
0bhGrPyztKRPal1lBVRF1Ftv1Lw9yQZvkJzNVeQRN9s4afQ5sVxd9Y7X3OalmA4Ix2ZIG/bIPE/R
r/bNB8MiNXW2+dlbS652XjtrzCMEQBtxfLQgKWc4qF0+6cZ1ofxzUs/T2gRE2RSFNuHsNsotgS3h
WnUNjS12Pa+dqgNL6TN0ypxWxOBtWq8KmBK2ZdW057kyatwb07RzrapZ56O4J3J4PGeGEaPAFVQT
GBPRzY1BhN/oGrekTDfIquWGRT4+AJlmazmQf0ySHKuP49tiWAkts36SGcxm1xnVF7Fi5DIQebu1
urkM8gauzswFH41tGSRmmuzUMC5gcicmdnoXG5AzTuLZnbq2WvV1rr/Edtw+kRKqk90RJ8kXCC+M
Vx6SHpN0EmOpLcam2ml1F8lNqer8GC53dL3c1un3xV19X+IkknGhm8iJ4r33fdH335f+/D0ALJoG
HFvfg4H1PSQ4y7wQLZPDn1+k/vGK9FsV8P/+v9u1dj/L67f8Z/P/wLa1WGPIqzOEWHTAJrAaGtt/
vnj948bSf6NH5t+CvzXJQIv9djP7h/+KvyxpLnWmNA4gxwP2Jm1kEQD/tWdX/8Uj9wRI3HQBQL4b
eH+tM/3Ob6K6TefbJhzu1yVN/4WmCoevx4+zfMk/Vd9m/NEuYeFRZHHHXkoFBnFk/h9ubRUi8pQO
adLh8IgQ/uw/GFtcM9j9OSJDNLPr2N7qzZ35WDCnIkdNHhsVb+P8ORzbIA4RW+CY1dP8hx/2EM5E
gxB8rW1dD/lh5RFUmR8i730arSCqJP1N8XM3/BAxAaNwALjT7pFpQthMzCo1zq6ryvuqx3W2D52H
XlzLT6agVWGfEExSYngu624dOl95QWoiV3xEvLfhHOykzdESGdf4uAO64NZZNO1yh6UOTm49YtmB
b9OdpN4mRivXZZddj9GPApbQKYZ3svsfm1a/zdUcYTQkE9A2p2rTuEheio82u3FAE1cdUe7AkjiY
5LDwuitu0sEVFyNJ7mU2H0yz3i4CZ83Krxi7szVxRyTV4e2pqhtCddOVkjXbDbmHIJqZkTGfJMlK
o9/N5iZdF8p61RNtx59pQy7wpvSh13GUW026naxpXbdE/aJKZp09o4G8QAtco0b8SF3nMpZ8r5hC
bdJPxNMYT4+lRqRIzvRkEduSeGBrkePmAGx8VXzeF0mG/kr5DZHtXnytqNxMxv/CKkbS++8BgO/3
DiibYD38ae63qP+3+FDa680Yl/SojXP+WLek1lpWcxl7dJTD0tmlqyBznas2LXZZdWPn446482Ob
e13AyclE2PTFKsSX4cTZPtX0bdwNW6QP1PaE5sXsy+042vemZRP9mzSBMuOjKo56Z+3qqjga0xb8
c1PQh4BU8NbOor1HjHBt+Nctf0Jk918WfIqdvmr8mkPCQuM638oEwa0RATq2gRqg5JKG1Cr6Tccy
kLW2x858qe1625vWZSLbw7HkeZxwU475Lo/ah4SrkEdyNwN0GD8ctkaI8CvlzNd6ORAfWwJUuAi4
mMLYAyZKZvv45BVnV2U7EigRznrveTvts4yc6AECv9OolU27+TQTRggC/TZV9rYkODnnCzKUxsju
jemK4+JZCAms8CDq+oyWfc9k91CMP+bEHo8VQgKcoYb7qkKzI1gte9Fw20SVsXMSHpHBQd3v+Htl
1p86WXirHlm4nMBdvbC0Ax+e46iAEypn/vGb0/UfLQ5/cBR+PyUUNJk6lc764rb4PUw0l7qX1kMR
bpwy/Sm17pk04F1YGz9UHdFyW18Zbn2nwvR67vob2dSHhKagOGbuZ9YFOXBPqU3aAbs9eIF/Q/Ao
Z1d713h+EURtekmiHjdx8V883dZ3POev+47LqQxosMBlNj/CYnL7/ffdgLNUvUFEpXJrGCdhXoWk
884IzUCks1VNtW2YRR5NOD3bsLPXcg4pZXQo8LYjGRQqygix02Yb7fwwL64pnlkpNqWI9/gIxEo4
GUmxhF6G/c7MxkucdPeo5R9nc1EwiE9pj/e5RRaK6bVBGTEwhDHLcO205Wb0PI7GXnzpHfp02bba
ySRriIexotuuGu6ivr8MoGOVE0pcxcU56nE1Ubj5gykeSjXtH7Ct3QDLzwjIK8KCk2hjm9XD0Gpf
8IbZ2oudL0fL7hsneWFo39Xo5AGdv6os3kUjWVoF34FUh7qxVlQ4rdvIfgK62uHqpFSpfh9YsiYm
0TIfNhSUSX1Y6z1pTilaVTQLA6pQhCMbbHtnKmEu8A4JwY2CAA5WTMQ5q6jrnpO6fVQ63R6F9YKu
7lHG4w0E3xz0XYsOo92biaK0U9+T0XtvR8NelzNOsOQj1Kv7jBG8E2bgCN73xEbS7V2oATiU1XAZ
LFKoMu8+NwSiGFTPne5vfAPBvbS3MtK3/OlP6OU3A+JgZ4yfSXLc9263Qda2tifW21OLAL2Z7G3r
08SINt2gWGG+Dx1zzQpPHPzRr9JDUoTPNb/CHWlP8ToJCccq8p2Xol0fyA2uzfYrjaJlLb6wgAaq
Tl5VjkTObxKSKUT2XXKoVonjts9J7t6W0iRqWymEVsOwguq4xHbyoTILT4f4ir38EGr+s9UwPWvl
p4fttOpmGinhD0mo4zP68tKqdC9IK0rK6j4fnLtUJkdLTEMw0wiqZntaawiBQq0N/LLDCDsEoWwK
bqaXRAx7cxz3+dKJQxo7DQ5t/mhGxYts7NNYm08ZCBhZSC/2rB5Guic3PNUHFbpfszCPYRc5m6Hp
HBo8JXo/x12xhk9BLb2MdPr5lMIpYsS7IR2+3rm1/maxsW+Q79+V5vRGHjbxS137gtQIeBiAlRyt
6VJb7WM/e1e9W0UoReONlh5SYT8heEAnS66viJIHo3GIKeyO+jiSCjr7QKhZQETzXhvGYNT1S+7I
ILXDp7xFDF4DwFr+ndOhDktfZ9ogSq9b+2F03fTxrZnPm4mn3UqqrzlG7MpvbBz9+3Eyn4Uiwa2d
wSLUXYgaOPW+/Fn/MUoiHMW4NTr/I6G1Os6huqVt34X+T2K1ABE3lnZde9eVcW2bN0V3l/TxpWZF
R7GxckykEmLVJt4j9SBLKc26pJSnQDnQV2Mgkp8pGEBB90HavLj+w2BHq3i0ECd++XEUGOK1k/eu
zHeOVyN0vGULRLVK7XYneFy0c6LfjSImSmI+6WG2cifE7dxRsWMdyPqgNmCTUtLpAz9Xzo0xfPg0
5eau+dJ2tKdMvNepePH8Sz4OBH/e6rIjPCqNnhUx9+sutgMZvw8UE+TdF7qlNe1o76NpZlvo2Het
cvZxLfdpbHz2EKzrzo/yVVr6NLimcmX7QyAm+De/9A5JhG1UQ3IaEOb/RLqV3Ixisj61WhgrTyMl
DORqO5Tz0a6Lh0gqN5gT48FPtddymp7xGTwQN3+ZQxRw2GeWGiqTNvk2RX2VecUG6rkL+qH4oOBj
583uHpXlysljwBKPcUpG471mgTHUOnSobq3yZHhrISBhnA/OEBrrDi/Z7Ljved9f+UP005u6B3RV
1AonYp8kkwzKhtEEIxuOusU0tLiHk759yEwEbUa+YVA/lZX5heZ5nRg7ttArC+O2UdbnFBKV8ekc
Kft6mtqdZyqB8g4LPPayiBQkWwsG5cdBa9dkEll+u8lSZID/K5pDkYF9+JvK9i+pSChY8rqHWM9f
6iVNJC+jlKchvDMj44rfDZQ0jgjAjnAChQHDdAuExzoICMi6c//ftbT+z+X1WNb++Xp5/ikxrr5N
UK1/8cMePv/j32FiF2aPT/wrsyfoC9UFmcEGJB27IR/5y9Lo+RR72ySvUPT2vTXykf9cGp1faEPD
Tuoj80F240P6NSWmvv/4d2H/skT0kakFIwgl57t/xrQqFqby98QvMcsQv/SjehZfzPrD0tiFUYt3
0nX2tV9bci9UisaBRKWxXhkcKJ9jmmVXrYPk6GCbTndvGZMnN85gJPMW+4z5qJIEH1/rUPhSYX4C
8481MFx7aEe1y7XIfFw4mXM4DDqSUA1thmlzmq1dYrw6WqasxN83JQ1KO33yVHXStRJNGWFxa9uW
wDFeCE3e2BRdkuOVLTC7oT1gRlVHr3O7F2K1WCoZJDaGnqVrVXh3Oogl9hiddweIGe+W4ipp+pqr
U1VsR2aDdIQfVp70hO4INLbGfLIjCKVgsCL0/11G2sec5cxudX6jRCz2oe1RDGPP5n6KJ6hKizxK
QDNmozybnNshMv0Hr/S93WCkw7mijmudTHm/MhmWNybxbqus8yEqIwey0hIVRa3e0N2F5Vi5K9WU
d4avVd56qOKJliQCt3TIgzCWV0Mx9LcKxA1BbgFSeFJxmwy70Ot7Yl2HDJ7DL9Qogwb2CU2oRt/e
Cp8GrJo0JqQIWY/P53Y28KTdcPk6xa2B/wgvnq7Cep/S6h0eImJQ50Ont6h/wn7wl10pNPpN16HE
20KtZC/U+Cj7FplxK7bG7C1Ua4SFfi06kU4rc276bhs6Tb9zWz361MtKupz+ub8r6s54sonurElK
kHKJX/vy0bd02qAuovDEqaynKuU216jd8/oXZKPjCoflhfQP6AM1tCDKY+6fzXoIcsq+b6m/0beO
Tk1FSYwaiaY26t3GKppPM+/dfSm0KN7F/RwbQVaymWK18h5sN8FyNLklLFJOSOg9tR3TibYy8kNQ
4gRx02b3LT09XMMws4g3IZSkWV7pLiwu6ZFyo8feVVdPizrQmB9ClO/bXpX2FcImcxWx8CPt128k
40NaNs39ZNHGExlOc6NBKdKgMMgcdUkHbZnVVLaUZcQer5BzyV2pDdnJJmmNydUEU82z/FQrIPVF
ehs/8LR2x5KgCfLpREnREU1CyWGS3BQ02HUBBmQGrUp2B9kP6Y0Pwv7a8reFLSxDo1kzj0wSafg4
EgypDai06kWum7sgDHF+q6ZyVyIJ3yhfn58QOMWfiClZsD2XsbGTzc6NuoTfezKxY2KMcv0WNxsU
0Llqp59l11U5W7jINx4EO/s9FexO7WrpC7It534oJ2hugyv9RzW1xDToOePGItRm6x+7IMYcvHE0
0W3sXnVbXdWKpdsd1vVoI+8yzHSbjQkOzVpm+8zXrnQESJww+XjG4N+9hHozUJ4hs4v0TXXVVEkB
6xr5N9JU4RuhgZSo/nfdZf9/A7AGvKAnLP1f6l3Qbb61bdzItzr63dX46yf/5W70rF8stMz0CXhM
ayC7fwNUPf0XUokW4Qu0EYKT5SP/eTdavxg6hQDUBJKCigaZ7+Wvd6PhoqLxlth1XMokLLvmn7kb
EU38/m4Ex11KHbhq6UblMgaf/b0oKkzo4kp6mhOtMhLb0YBFGhrggfXkkxWAZwJd/YYUKo7cXoZ0
BbouK1hgjQghFvUj+YO+I04Fl8Kq7LABg3ZhSLddN7tP40F7sI0wOsixXBpSiuhY567OkGe7+Q7P
j79xTQ7Gpmiiz9705ojim8yLyI4jMzkc8VYy0yGqC0maPEqjsKA34XrXpBpMt85Y5lj553vZmRPr
857UHkZ40UM3d3FdHyNAlfXoMbts4Vi7dB2OYAsM9RP2oEIMVIqVEzxQl836fWjH2QvboLwvBbpT
R0f+orxJnrEQYqiatH5+h+Gyf4w0H7FQdPXbwCpHCHcKoitwmdQEn6/LxCBugBiH4jI2TXZTzWmy
KTR+O4UYj1JvkWDkEVHrZs0tQ6Ezsh+SaUi6MN4XKyGu5LIjoaD14vSkIid9HxysnIRbZP6nLDX5
SL+iCanjolXEpqcJKGvRFwzKOlYUM7VWugmJS8a7uEr4A6y7FPMi115/JNniaYoL4vtcMeKCnpsC
7Dop9HI9j6pArz6n5lI45p47Z0je4sLKf+oipFi77ieAb1X0hO/o/tSccHk0KyJXNVS3+UzyGpSv
HNdOgViQG5r0B+EM8kxBg381sjW8RjRs07xKOJu+IBClQtdBmxAm4+iFq8BCL6CLaG82/HuMySyA
5+sBICaVLcMNwtQCdQclJIQCkT+3R5LTfVZ1MURbU5Tjvos1f+d27mSvhXSmDWw87mXX9PC1I/Bt
HlvLFBfUpdYpdLrmISqi8k2ShArqToiFf2wlj+IaH1T1oXJ7em38qDQCm4jhZVesqx8G+1C1mo2l
AydJivqeghb/YpGZFgZzNfinhCvxkkcKFbtXRIZY+1SO3TKOjE+NtSypYa5rP7sKS1rgGcQ0W26a
vzsgBDsiT/h4KfzhoSkKMwcDy2lprNskmvaDcGEOei0qji0uDocM/mGnMXuyww3Dk+8M1Z3dloD6
RrG8t6na4wnTkARXToeIyvD1QAG/qXWoi/Rd8nItnxqCilh1lqk9qGxSbyyIVwQcsXPJiBfMV8LK
Rv1Zou15WW7/aaOrcl5iS/gDekiCy505eTaDtKKTotERd61chWBlbiK82qHzM8zE/DrIcWPQdwye
Z36UvU8NmZ4m9bvtjkQhQBqNryP6tkB10Ui0azM8oEetThF1vPsUveBVQdsYNbyy5cNuzP2Nmfp5
blwrwh2Eq0cQ/I5Wri2vXH0mpsHE5bsGRi/Aq03W2dEL9yRc7fi+Z4hPArXRg4kV6u961ymyAWfh
hk++QFNQtCC/pGv5zlozugYopK0rtWamUQHtfwDP1hzrxjofxrzciDC1csZdFf9Muip6nN0oOuqp
kcqNak2BrA0x0YvGiwJKJkwC+VKlutfcTCLwCq1FdpXGM6/2nNvqAsCfT5Q6J/Dw+QwMYmhgn61r
c7Awo3bXSqUTqtuiLA9t3jQvjY63B6vWZ0rjGAx2zTndZxlKBD+NcEp2Gizy7COjbkVCVhyZ9Suf
XttnK5T1yQyj6NXo3WShqwCAOqFhgPRHqoLBQnI9Xis1ux/4hLO9zNsPXcUWmSZFX15xldhoI/Gj
fVqadGn4qjss/0U7DOe4g2umOlZONtM6NAfVyZ0XraHVSRfg53TcPaLAiEa7RBpmkOp+83OympIi
ydFdYf/ilrEoEKrzWl2FTlywUJEdgTaNuDKSCrO03QnCgqJ9Saj/1oqdVt/nc+E3eCtMCWyZOTaK
y87MOn56HZkij6b6GqlmuNLbUgRGg6dshWGDw8nPivtC43Ujnywe6aBW6jV2yQ/AP+F5t21ViyfG
adx9jkrFSY9K8eiTEPhC+qd35SWZZCh2W4IbvEqaNxVBfDcOOYSPanIpogRi4vFxmz4zt1NlpHnQ
xP15cltnGcgt+cSOp+cBfJjxpSvqO458hxEIb28T6RB5k/fakrlA4UwmmjPvrZ3vQ3jRpVzGdh44
m+pTn/vJ9UD189b0DNKnQ0HEwKjVM05DLdYiOpozY6upMj4lU+g+T4kOIViO+U2aUADOykNT5FDG
F9ojinU0G8YFLU+JeCdSTx0iuMfKN6vAmLrXSnfNhxbz0yUlvzvo0sTcKzvXH7B1aj9p+x3DlZCC
tkOzNA+JnrjaYqMNH3Jduhe3jB/KUtcuYTlR4jQV4IR9lKQXLRHEz1nE20EKFnaLi5DE1E2sFyT1
Ez28lAi6iQU4m3nM9nGVmdUbsVLhdqQuD3Odm3brZi4H8k5894BhINr32TB/ZJSIBtqs6AUrujK6
KZ2sOeVV726qwYl/xC2mYoR/u7Hzx10YdwWusjx+C7vJQu83pHcQcMT2KJJA7D4qtv+HvTNZbhxJ
t/S79LqRhtkdi96QBCdREkXN2sCkkALz5Jjx9PeDKqoqM7sq7d5uu2a96NpFRaQGgnT/h3O+U2uD
ROkhTe1vEQdTF1n0u2Av1LVw8vwti3pWKSzVR+nTqRvZFjvSgsSoOFwahNGHLorbh3oeyn2hqQiR
rK78tpnoI8n6iRkUAuDWG9si2svo1gC8+weHq+XO1pD8Qdkd2CZGqXT9Eg3Q+4zB+Vo2qLN8ToTo
0JeMdEO9N+91u6vOTGcTHCqhI0562ANrcCLSSjI7NXaYZcxdIkd5gwssbEmSC3RssnqUXbsJMD/Y
BsFrh7vz0grD+6nqzBLcypQS6zKqHMs36pTJsjEpjf1B2BXZmQktWw4Hexj3dw7qXDUta68Wf+oz
43lStNOpOqcVnhyg7KKGjtUY1js7Xh1ISxJGTy7p6wodmiw11MQqurLDBD0pglAkZPSRxRrv+zQc
PNj65b6dEve51/hEFnncX0jRqXdtmhu3gxmZYEOcBhl0p3E8gMMMd26eta/4Vcs7BfvS25iMdY9d
TfyuG6V8VmcUXicxWdNJ0Y+DibK07o4Cli1i7fXRS0R2U0jEUd/CQ08j60FPxvrZMpPqzHIj9UdX
zTeyc6FRcW3Z48Zh+UFNqOI5x1AjPkvbpoOE2j3daH1QHL2q0HesAMd+rdhS+aIR7o95lq2xkcxA
39uorVAS5oXm21PVfyQmPpqtZ2GIHXCr7JNuHu7Y8hskDi+/ZW0LggjtuscgKh6sBGzFMA/OMx9O
C6N6XFRnOZB5G9X5o5NmlyxC6DlmYXPy8sjmM0viFoRRZGtFDg5hjQmt3RQQtAVLbdd7RgfFDQLd
PEzXbP3zeLVA058SN6hPHkDTC8nM7qXHqXRN85KdmnBiaysDePMuXLYfBEVHuznVwHeyKXFuRun2
PQiPdnyT8aRPx3K0+mmfekafHqPCRHLghuG0x7Tq/AiyEKBSgVBhVWCIB3BcwVxZmUp66LzCeW9w
c30R1ep+hWGgOr9P0hn5xgxWArL8MsJ3eis2d2bpxY/M3M0tgLLkZda0+YJZF74R7k2Puy3qnwx8
SRcxmdkNxun5PMdW+2V9X74qQFHBC49KdQiDyxRNzcdYyuZaYL1/ULA7jDoMXeSkhJZFcBIgg9gy
snw9AE6LW5LVe8/q6BZmy7DRhzCMVlE8oeRuMsdjLF3YabrvumSxx9QNh0ZdomdH9uW86KFRA6Wp
W7R/eszuq9b16oet1e0e12Z8jYi0vIvzoX5W3hx9NrXj7TOMBE+9oU/zemSQdyDntmm3xoD1bp1j
rD1onj1rB7JF9L0pYhxZysLh7UxR+xbRJKP6UG13iiMrr3apK1tkakaTnGgJ8A+rwdxXo16npPrg
cDOciDp06nt+p441wcaq8hmNceDMsHaFxqMDGXvM84S9XI8PKFuCp8szFJd532XWUt1YXbJz9CbZ
S4cV7gppunkJeWfuB8MtPmQ5529Ll93yHaDTbTrb0u71TnXnPDPUM3kL04GU8JxSlQt/7VgBm2qj
cfibXqfE0MzyqtGn6oRcJWOpZEVlsC6zMnnPy4wYZ9Td4a1Z5vwKaVoBRUrxw991Xv5T4Y+y+Ljk
OzIOExAF8A+JPO3KtZod54pligE/YdL0Byi1HvunhFhUOZv2GhiCm14lzDc7uEtWc2xiR5obdiP2
xKLCrfZNi/uxd4pYozWNGAJlZpw7e9U2PBrKeD33pqveGdSx5UZ6jxlfu+siDppgNTKob1YIJTIE
Sy27e/TzEFhnwuKXgbCLzFMloFxWeuqSLW9HV40Jplql/fyZS8PdzuNIGDJlZF75oouUXGduGh+8
lLpsDNPyOlTQMFYakQd3NdrNx9xZegoG6hmrbW5xlkmGurXJJT3lcMr2pt4X+x4WyqHopqgGB5eP
T7bpmvoOU2x50OAnvrVKxvV6dufsGiNKbR4sxfLmWXTjImcUAzPd/z/M+k/xSX/Noxjr/Pslz2Pb
vqv3NHpfSPC/W/P887/9NcsyEPOZEu08PGd3GVn9fc8jxG/oAtHSI536A5rUMn6zgY6SvmVjufMI
x/nHJMuUv/EXS+TA3/SEwvmvTLLYdv9pkmUA9zeMReSyDMiYuP1xkhUFWExY35g7vAc5xLLMRaai
O6VGyyqc92YKzDtjopiuq1RfY91m9qGnk0vhbHMoDo4YTh6BimuEYNDWEihRUfWI2gBxMDxQQarI
JnLr7CAogT+iuGsPehJbi4eJAGzSAshmWfXSmQ8aoXMpkemxfqHHtrZFW8+3plU1iPBBKSQgxwjr
pS1CB9GNvp4O+LEq9RUyZFm3VLMB4I/Y22SeIW/0totPIbl3/mQmlLOC8PDctCLfbvPYb1iiXyXQ
f9ZeNKt1bTChj6AnfSawK2DW0LxvCQmyd+XU6feCLuc2rdx6x5MRm9wa2UDb7TAfNYMwFXqxZmvO
ojCJ8AvLeIXX9z0jjYQomzBLdrnE97QKiWIf1pHdg8xwOnk3ZAnorroCbCPt6kMH6n5jp/rJnt23
1tOv55I4bywk+3nKgPpDZ3Gmu0gDPerY3VkU6TWVhtqMtoDrpuLd7IYAMyUd/bbU3Az1tJZXrJvG
od1EKTrLlonpyFqkD/QNOEKw6skVWEay1GRubwI6COYvCBy2UT55HFWe0vtV0ZnlOzXddD0pFbx5
yejAfJHVeW4MDvEZ+N5DhifmqJKp2Y+upl+PUZQR7teiX5pkS9wU9sH04Oaj2PdNLfZZ2PWPPd5E
QBQYlqCCzeiyLc04IazVDqWJgL6xWjjVqUPuHu80duvFIJ4HLGNXBaQq0ClIVzkGnQmOSx5/xu6g
fJ135Z7hk0Dn4kTFTi+d4q13TPdWgOBGa6InH6oqX1s5iVdY2WJHaZxecmq3M62E+4QjOENEGOmn
IkZvlmRduKkNN9pgNj+xjgtPvT4WW1Vb2t7TSY8KQtu844KmBYCbVeKGS3lHO2mDlTzobhhmpdfZ
aDMpzVJzXBsiN07TrOCJwlYST62g4l43SAQOZR1P95ChxkM+NMaZIq6zAclV/bvlyAHJmWtDnG2S
XZ/O7duQB8MJ/FazhzlqPTS61KIV45zh1iLM+S2jtFTrNJmbek2cg1PfeHqajatgICVuYxvcfJje
NCiYAzjGYJDVngSjEWy6xreBMDycewxST3YJUQhrIo+iTglq95vQ5G4veqsEFcSi1Gr6/CgSM/C1
WJe3HBdkV6SxGd8kEY2LBM12Htq5PfWYVc/c9IzmTOFM95iijaOdts1ixTTKHzrm51u9nSKmn0Zi
bntVN348Cl0B4hXaVR6kMHIHYygNvmmR3JqzVVwH/ZyeGzWgxgrGwm9R224M+J57IQYoO602VHey
GoJbiQXhFOXMU/qqpdluSPvcSmeiIvTcLD6ZSWBuRTm5JyNqxitdtdFOt8z2VOjVcB0xZX1zKjpj
6jUqkbU5PVbgg6CfUfw/GCrHcm7ORCgivFizJVT3DjapTWwzXY4JQtkJ8K3AYIc8vQnCbLgDSDje
TQ57cD5wql1XwKHo7F1opO1eq3W1F2UfIXgMdOIJIAG0QqvPCDdzZF7Ceao1d3hCqlh+DRaN+Goe
S9bQs9TuMTaYt32D7MkIag0rEQz3q3ag+oanmmBM8nhLF5b1E4c9QhljqJ6cUjc2GgiPpziCd5Hi
+kA7SHqBb2HQ2CZo1HeLmQl5eDTgMgubdW0rGmSNKM17W+TBNopkC7JVDtOhTAvrFObxvJty19nB
bpYkwap5ExqJcUjAaL7QwZMc1JjdBUdbcOaPwaFqB/ESDwbq2lBF29bEGGu6TXeDwaf4YPLTbzE6
52+wQ703T+b5uXP7eMcuhV5sZnGQJm7r572yGDRowjxQqZEIUJOIsnayNCLmL+uOjGBqAhalOtiz
AWiqHlHLpvEPUgUlE/jmWEWsFwW3Wh6Ub5U11+MaSs4lrHF+5uN0AE0SPtRJ1n8RYDVsXGWNuxZV
K2KpzqwN351mOkUdMG+EdGAYttpkuSEOSas6VUJDq2gj91EdDttMsspmrlzsHUISUEY4K9t6UeTZ
Oozkr42y3+ch5kkRozwGyLfnqPaNhUqRJ3m996qcCYgyMK2OUMN9hMwxxC3imrJjarUN1jyJEDUi
1gykQ9QRh9Mm2YFV7fK7GGHhqzEfMFOrN9ZpnMxdKeq1HKyRUb3uDPeqmSf6BHP2zXpwtoUHmdHS
wC74Hduc/WhUk5+TjEQ1P2JITS4CHSbGvK45M4ipPqrOSveBB7yTZVB+HCtenoL3PEMtUIXzWKFh
amCVTkwJmS0W05UxmDvykec9fIgZGZuZvdCdflK182WD92gUzX7IM59XRdu3oMZaO1zXTglbzbCR
49qadSEJpjvaSanf21MPpE5pyXgbEV0Ju1s6nQUoFnklmwUDGRpAdtjP2s8xUC7KapY8fD7qE7bm
bm+BA+aa6cpP9Lz9XpoV3luzmtlrEjYDQf0cpAbwwozheNjnwT0PIOc1xZgOikfJd2kCXbWbOrox
wjHZ8A8t5u4jjjBS2c9A0vQTbsf8Zeh1YGdRWJHLo/V9tR0IItubbsvIzsMy8jPXLAtEn0Y6Xpra
GBIsDBVxKIfYN2Th2jsYI9GhsOGH4GwFJRKNdr8vWJ7rDJELF8G5V5QX6ou4uM5CMgs2Wp6hZeEY
WEcHvUGysTHrOhluvXFUR9QY2d0CDfvKOXGmVQTgZI3sldGz5caPFn2oj3ZRrmVqGA+N6LPtiBS3
5c/C2uek6GytxEShV8bIW2AprWuJ1lnPY8J9BCsXpnG3CyG3qFCpjKo5KHJ3Nx0I75XUR5piSgsa
+DRcq2YYP4d4HH8OlflJ/6feRNa/u1WvMzGzw/LW05BcdzDo9rOI43VRWsNJWCqjWNX7q9k2FSxK
xoSiiWC+Z1xPjd5ZR6uWD+Y85HR1kANN6LmbQBXNJmqgY2VVE26czCm2UdPFV0lRDLetEWi7AJ4Y
MhBi5wfHcLE8Fy5Tvyn4ZJVjbfmMhrsimi0eQ5c/xE4JGMSS4VnHzbdr5r7dagmWfDfK3PtQLLuE
gqtznZhzsnHsNqvYwHrhkfTFftsQDH4gZ7T+MFgy+xL4+hkFYufrQynWiiNqVTaJc9MBZUamG0Cd
raEABZnVxetBFh7jkXh0/Dmzat8BZV2uzXgQZJrq0TZpBXGAXTpoh9wr7StMPL1vqNHe56Nr3Aet
F/mq0p3rDgvm3pnsdJdOgwF5k/jrii0CrLZ+OMRZUJ7FkDH46Fw2mWi7tfjFiVW7r4cU4ACM5g2C
0vDWjguxkmK2n7jo6LhdJekOYtf0bdCix9jI5V4EbcfRUhU/ZZHKa7dxsseeXJkdW0bdr2Fd7OfU
dg5ePdlb9Do6gPgK6GAaeFw1U4ErcVnCMv0eT43e3jEN2VKn6iey1hLiYtWzRjBIjYrrpp+016If
UAmHpfNoFRlSIqmAJJY0LZUrljQ5fTxWTtT6inx4tRptkEndsm2hiYdmzhuDiVpOqOpFT9ko6Pbs
bKawDfgNWMcoRgzH33WW/9I/8Sc1nv3nPu1PiTeEHs/JoCOXZ8/Hjsxy0g0iWMGSWMbkChOplBSD
9gita3yQhuG9TLKvbs1oDq/kZNavQYxF00Zbhi/EMcNd1E3Vw2h581Z3gKWCMGdPRFrjGfA+Svla
xmZKQQuHau3ZlBLQvuIX2/U0jaKmgElstsWOpYDtM7+G3xprP0K3DDcEK5e3WgIAD5PpU1c3BmbO
yiE7wjNezK4TV63htOukJgMHoxofWhIub+yMsKXMsZSzQfWNcDoS4o1KPdw5Zo9LH41t2TvnrkVm
SIVCUDkpl2QWTxtnjqa7visAxabzCdc4nDIC0yL2t6Bf6UqjyEUjpGaO7VA5n2ZbM4LSgPNwuecU
hX6vGeXzbOaZucEzC6JQRW5/CkBzHyI292SwhqZ7R/RUf9sA+VlIckZwPYGax9Olx59VMOP9sDU4
D4ypL+WcwjPT8I4hpEfiV069e2W3nbZ3zJSUimQua7B0XYx8HD7pV9+ML0001ywxnXhrqxx/xVhn
W9IU2fizNFhZ0HtRSTqAJWtUdsjlHdZUXdk3PvrE+HZOC25oZr/HgP71HMOXwo0+9vGFD7p3GL1x
OJil3R+APGUrAzf4T3zJlIL5MIwPUY5oeN1RL4CDrotOrCU8yJO51Nn9d8mdfZff5lKJcwtTlBOx
AVO5rc2tTi9PmsAQRbfWUslb30W9XOp747vS1wFWcT5Q/w+abE/e0hOkS3eQLX1Cl/UmgVkh+HIM
BgZZTV4D+ZUGQ333Guj9eEBqaUGs726kWxoTZmnDOf/uVqBzjYwW0S7n7mCuZTSRpmR1teaHEbJt
77vlkd/tDwajotrjJBrXUrnGcVQOcj27SnjgKW9c1KCkPTiGeGfDANUAYg0w5b4926PCuCEnJBxy
6bcwAtxXynY3mVZdNDOO95XGC2ZpVXlBbWcD+qVS1qYGpU9JKXwUkPau+ogmzVYBluIu6YDhS8qw
leQ5rCOM41gGHGfdScs6E8kunmqeAYGhS8sIMB2AwHcfiQIgvY7SlkkBTSYoYgyB350nFp1lEbU0
pBWiuF29NKnd0q4i/0MZSgdbLa1svDS1+dLe8kMujS4tr1qaX5Cg/aI0Ynu3tMaOFsrXwq5fR5Y0
H+7SQHdLK03IV/FWLO21/O60YSFO+2hpv72lEZ++e/Jsac/zpVFHnGpegaUUz+PSxrffHT1ul2Bd
LG3+vDT8CYd0HrT8LUFL+ar7ngxgAekfu2VcgGFQMGDuvM1fn6jf3KrfO7sMDLGeTQoR4zeIFt9g
o99xrRoP0Q+MYW03tdI+FkxvWzOQhC2gkTcXDCvKL+es24vgAL0z8PS4c3a9KYzXRkaErCjoBJ9T
3w1HuPdAH6UBiIRp3guFQflkyerUxQXBUzqUWYqn4aIgPOPo06qUZ5pgfZwEbGy9penEQZOwhia6
UBwbiZzXbyd+KsszeyqrYC7e4a9nEJtbN0Kguxxk6feZlnyfb/P3WWd/n3vRcgR6y2H41y/Y/2b0
/NsNRDFtLmMu4fyJ9OQBGp7scSJfZSXu5xfrpX7XXurLcNPcwWEtbrXs5q+/43f09x8eEeGyOgFv
hm17HJXfMYW/e0QDAxaG43GwQ2ITfGRlE7eos5PpJh3j2SSIsKyu1FSj+DTCNPownJmgAztIf6Jp
Hq3VNMXBlmB01HemoKL258DiDjch3+o7ogG056at3AcQW1x1bkGAxTq1hYShk05qP9ZljZ1OpUcX
AsaBSobziXHKyhXy0hEVvkM+HTJsyJMtWLt6O0FiupKlM78hAgsODSCYQ187ctdOmfaYx4M6IYVK
79hyhVdm1gHJZWZf3UeeOyNFjZMUJcUIenuM1RN07eX8ys3s+ftF/S+R1v5vAAH/DzoyBMURUelM
iVgmYaW3FivDv5/bn94/mdr/fmT/L7/Ar+G9/pvFtB2wpevZluV4vOt/OfvN3xzensvJAeQWjOc/
dKiW+E0XAn2kxTDtF5jtlw7VMn/jp8OJTfXL8eHgg/17ytqvKpCANoTC4Vf5L6pC6Sw6039+QhAp
2niu+WAs1eLvPhl21pYoptponw0iX854oDLcyvBlZJXXi7mgmK+EVshdZ6kGBY8jjngHcIn2bovw
pVq69UISSbIRY0bnqzGwbDw5PaG58JgCIhSptirNsZoSHeFd8ipp7kSq2yOhtTnXgSWYUGMVDkNy
bKveCPyGTNASgRLBjB8wWrQKYUVpXzONso5ICYf3PpiKjypKyfDlU1ztyrxQ+Wp24gWY2Teuview
3X1DAE+jYZXeOO0mvdWZIGdZXx+aUgNEgHrbTjYddJb6CFExvsMm4YTrZFY1Qv4uv+8kzHU37SCB
EYjmvppTmp/H0Zi09dibKbKBBP4PMQ+oRFdoO/TXOiF8AnIz28m1l7biMhZxj3+RI/pH4mjj0Uty
INcAuS6O5hT+UhvfU3J3z6DOnDNOlvwi8tRFXGh7exug1m6ZFEPxd0Vw6h02oBNYGt8KXWx6LoXQ
tsc+gpfM7KIfHjGy0V7LmsjzM9PtuSHSYb6qNNf6OQT9eK+zqP+CVolnJAir+hWSkX3rdVNi+FGT
kEiZA7h/FPYC4e+6vD1HlYfDJUlGTGZjNTurjtynXZoxX14lYT88CsPVnnCJUQ26A8tJBpKkk3tu
PaV+TCUBTysyPxJjqFFakCVjmARZrUY9RKdZuDRA6JVz4edV4LFFSdsTuBuF4MNSxV4wYSLbMWe4
x9K7aN9ypuKKDrdrvsI8GB+cvsSz2tgt4R3MDeVaBJ28LivlYkYoiyzbtJ5t7tI6abxbtvskI6BZ
YevkeD3IsknLyhhmKDzyFZaP0vYTEPbWlpQW8UX+ZMBGN6sJ5UTqX82+S7yqsda8nAyS1kGOSgEa
vegmKghESyM6OeLKoMNVZO0sEtF82DuFwFbMCwtVIqaq4fXrGRGs4TsVjHXZ8l8cI6ohQzdu+JKj
I/oZJxVBPiozgy9WLe1eJnVn/KiAmDODo9jE2p0HM2+pEcHpVigW6GdsM8YJn2MRoNDK5AFNavOj
c6PR1xS4840e5/y5MRvtZGhxmfp913lvdjnPybmNeheH1BiwjRmm/BEKvv0JZDd+ZfkcMPdid1fR
YiMVNdiDbBNdS21Uo8VwqCIR0cFiJUYTprkuRPmizuRaL9MWzKAXdtvJY9ePDXSSX16vXHOTNh7K
SJE5bOrGVtxBam0O0Lwadvd5hx8y85oPTznNc0KO1I09ziCikEzA5IlGlw2T8vo7TbOb50E5OOGd
gQ3CzJXZZ+wlsbEnFTOtPuh9gjXamNlRhEC1Aqfva3mJOnFO+up5ypv0qjBSJwKu4YItTpjC4y8L
kaXCyAD4yLsSkR4zEqQUTu+s+kS4vtuU/Q8YZeh+jaRDTtJOc3udocW7oJiL5LYMyirwM2cad2Sf
OjuiXfSDqFLksyaP8VV56fyJCTR06Xl0TN9kQ193IgqvPeaNzBBLW1yGvIrv+15jyZ/1rnHQB3fe
202gLrEcaBxpIZlBDgWhsGVXvCwGH7+fUWE34BgfWnIuMKLm4bxNUkYqOF4rHMytjrhutmXyRqFe
3iaZcvymDheq7jgeukDNnx0ZO3I9ETJs7NIU6+vK7SeefZdWEbjDIaxeq7JKyaMIzeEIR90iImcU
Cven3j7ydMaFqxwatwiNm3WfEUtx1EhuaVYDCjlvV0omC0Gs4QLQqWEr3qtJ+UGnzkLR7ngT1nrn
mYSX1cmbUdrVi0OskEdOhFqk7J3dOlub6RBw4TRBLtYKetmdWenVU5OAJruYEkEqj8Ti0Al15vOW
Rvd1FSUTA3YsP8bsi7jVRjrhiaguMxsw6yqdYKzbqq7UdTjHQbwaCm9KN6TneTeqFtnHGIXRz0hT
5aZq9PghNBVWeFK5uW5EBhIrgYiDxDMshR9MBtbcEMjU3i4AZ260sh6Pdl+PDIggzx27oUd36vRZ
DvysbEniSMy+2RghY8JeBuN5IPGN9OpJS3c98XYHo8V2BSQgs9dg8J1xWxMDdLKUwRTFLFtrryOi
JrXvVlFFhqsIJm61Uk0/n6YExHKX58USXmZDUq3dPPkQdVqgi7SuhhHS8Iq95AJs5Ce8q0rRPFsZ
G0KaFN0C7d3i+W5SnZFJybAIKqkoj3xsnPI5ZzOFELtt9sKlJGWSAbbayF5ZRCDid3PqB9CSZCsU
XnaMrIHmlMUNGQlxEzg6EuO54ByCsKOMiyXHO9MoWfHpCGIybgMuahSaGQbqq3Aul8lKIOHqNO2l
CLr+p83lsyOUhNGr574LNbibGT3zfh4gMppt0zxao2ORU+kQKBllGfGWkiipOoaKgdCo984dYJpt
mg0dPFQm9EfCJjBKT3HHksEgFtGKca5sKKLH02zVrO7CUgenF7CBdTjI/YS8q2pljGE5rW0GHECZ
XYNQnojpz65JJi9ZzXGdHuYYxyWY9Ix8vsE6SdkmV2T82FcQNmSNirZrXgg98tBXFvKHizqiWLAU
9a2dZ/LCtEzsk7YlJd2uAmS9o2Z+erxhgFQbxV2dQGOtyU+z/TwN7b3utNWjXujxbuh4/KVX4+mI
Uqx/g0msPcSOUF8ZIhE3BeL6H0aMWcVXyI7Xrmor5ECes57bGmksatofZH1VZxdD7nXBNh7HaJqE
N43TkFdJjixD62+KTFZZLTWXKd7y2UqmNZik8dG1YxsqzZCHX0FUR7d5oFknphQCYCBBPMRhVa3B
BYob6LW3J+ELUOHY4K1e5wAIwlehpwy8wrgf3zQXOnna2aClkjYZnyrk3LtIVuIWxap1ZBiV/uTn
VWcQltOHN3fg7OdqIq6NvocpeK9kC5F3AACcNMRwbZCngzZ3nWm6k6GSW7wqw9NMS78VUDTePdOl
1KgavJKrtglYqgaqLQjhqK1wx6MaTkaIu38j4kDdxWwIa8qXhRrVzhknFSaYNvMrNFwxu2ytK3cd
0aqsJNUSxSg9zFRbMi6NGwhPwHfE0IMXbBh7bOM+7w2UfhI1e4yk8gqq1JyviaNrWgACHmAbOeuz
tWY36HrrYBrU69DGKoH+TUz3Op6z4JopOCxRh7b+wDvEmxEvx+07lHUuNSZ+xiXtBa9/Izt7WKG1
7WAh59mTbUf1BTYN8WGKfuiSTLa36Y0e/ampi6u4cSR5r53+FRu1JKrKaQrT594FNiLMLhtWqVTO
PUvRGMX4REmwGlQTFX4Yz1WMh4IW5oz5u8eb2jv2XmRmWW7YP8H6IllN4gLmquivzbghwJenEIbr
kdSHnWu08pJlZlVvZm+QEDO8zP6Z5JrnbArcxo+eo02o0DX9U8qs6/blMHOTp6zPFroSy5ZV3dVj
hb0qwYDUtBGSmSz8aaKrubQzE7rJq4x4S42JPtiWsT+LUt11ku2NYsB3MopGutuJqi3Z2KNhkssp
JedUlwKpcJvg3Rtq86IXlBg+Va+nrVXuOZk/Vi67J9bz2k/IzjM1Gkx3JmFLRiRO3q0WFKOvhMXH
xOZeRnk9doZfJ3r5bpEZYZ6TPsz8oGdbyZ/Gc6lnyJCLqhzMlV6pgLAupcw1Hr/oHDBsO1ipJE1W
z1kvTC57JzogE8KIQpRBDixfMnwkxpyfyWB7/FQNQsK+8oLsZ8nk9IJnDptwhjxxkwV1t9ESbd6g
A+Qhq5H1qKVaku9QB+BdogJcTaHSN2HRtn4367wXKwA8K0cPq/co09RVSrgcBT6xekhBEK5Ptgim
XaDlYrwGhKw9AH3lqxCq6BxCJiS0ZPScy762C44l7+kfU+YtLB7bCC/c3BWuNDP2rsBKFSz39ZQA
wbG0djq2FlDWguxM7hA/VGbtw+VJR3z6Yj7YCbYyTYev45UaQJ6p6a75oe0jHjT9hTpgyXHwcCgR
zqXxoclIQxuCGd0Xo0OsfSFqgCTtLqUNT4tYCiZGqwBr/wqhbnyHzynzDUJBAIpIz7nSc5NyykkD
n7zSD+pUb6fzmfShLTBY97zwjcyG9mPS2aoTZ2IEm3Ay07ewKcUdwSsM7egOkuNQatlu1pZga3YK
D+MYnNEBG6+YFKM71mF8Ls0RUVLgOuNR1v2wt6ssvHLdKuV1d+OjjDIP9o+InV2Z6uZzrWY8HqR8
uEuFnhMhq+usLMTfhPBhQjVLXOOHwxGzjylL/ZQPTnONDKHjTWTRHCsIeVBFiKndhNacHUoMH/GK
FWz5UIZUvJRwLpkbo31vz6V1EG6jncsGe8KA0hh1bQITvdYqICWcvObBDaX0xdhHD3z0SMhwTQyn
MugqjseQ8X/T9bitsgJuLAay6IhJyj2DMnDVqpZywrHg6um1o1nkQqKJvonNGdlZwPT6VmV1yA5H
z7UNxkRxINx7ajZBl7T3CMnjxy7r+jNjNucHn13jbETK+6oxym2VlwSQ7swJi5822MzPSbSDLpom
B9xSybXQdRwHes8sI285r3BYmeD9ZJ4csqKLNl2R56ASaigznjYezMqtWJ/a45WW8cumgi8C+6jA
QtmGJRg7NqvPiqsu4ruxnNF1XFgxeNJ7sCryoY068kGmju3oirQ0d1unCSN+yxyvy1IzmCtSuTjk
aETFg0G+3tYlQ/lc2uZPQTMI2w1WcrMZMSScGLGKp+X69Ps0JdgDAdnw5HIp8yznupTbri/bTwK8
pvX/pDnPqoCw3L1FIPSqzdQ4bnQ3IXJiBk10yyYdlk3mJXrz3+Ny/28AiP4adG7e23f/W8p7132p
6fIFeqP9x+xs+dtzGRftQ/l/9o/+PoT711/ol9r3Yaq+/tf/eP/MIRnDgFDxj/b3U0Uc8dJiuAUw
8Q/DyO8f7Pun/quvk723cdt98g3wrktdX5AuTP+ysgh//f/C+w2SHpFTDofR8j/+mm/0uxfo370E
f/3b/e21/Ot/84ef/Acda7s8gzAuiz+8AssO4T/zu//pK/zzdzeZl6LytP+DuavrTRuGon8l2sMe
Ub4ooGmV1k1a1w6GNqQ93xKrMQSonEYT+/U7duIUB4elONrgjRCOnev7Ffv6OA4x72o+O+Z6wWka
Tnz1wXL4f3n29tFXbD8x+AK7CKABcyCA8QBHc6NOBpXj6oP67UM5jAYo3saixDAodeDi5DAC/3kY
gaTBTQwhDjQJweiARTubGILBELWuV5DFhYoB2VDQXJV4tSPAUTBYDwthDVYhXA0CrFUF8DilEErj
+/f+oKHMTLlpyYAVB9gC4agJwWQQgzQWxFSV5TcMAkLwx5MorHyi5Me6LMcQYRdI2alynacOMa8J
CdhSgvDi++NGSBiDNmUkWcBKXes09h1uqgMrNh5niQqpnOW2yNt2gw4nx79XoUQxpCFeGDfKCFu2
XSqR/H5tqJcKdwc/6vCn2qn+Xj3gcdNGW/qp9MVbzgSJZbpXP+yrbko+9PdvwBOeCvLmghKWp0bI
G0oat5cOHeUHtRs8iZ/ntNEwUjJyoU9/t6YdnWBveEpCw0hY1A/AM7v29pbEnrakgdRIYl8CLN0Z
mW9oCSY9q6RjP0J0dW3ijsBu472lzdM7755QB8oNCcGbTuBHXVu5J7FFTro2hVTGBGds6GnWAMaJ
ku6d/krrPKXkF2NPGkyNrVzT1hfOV8YpJenebkNyzdy9gW8JR/c1jrIicDj3MJjzIimWKRNib4Dj
dLxAXzhfLPNiu6IHjaN6jeq4Hnr9nVaE+TIyMnSU8sQ9YP/g6zU3HFbkgyFLP8X50ljQhmfejJJC
Y0mJVCHU1XDUBk6ba8Ehj3LHpSv+T5Y/ezds+0iZBlO9l2mqvnC+aKYEZw6H9SwMHa9yLNe+fy5W
QDfeZ+tM3hl7Z/RY4qIIz10iiMr12R0zvtw9kPC+5Bn25+YaXMofKTLOpe5B6z+IYtsenjCviuLC
HtRoyn/vhJkOABoV75MeIuxCYMnK1KAKvAfrtZ+ycjgWqq0IbHzOxjYjmFlzK3bJuNuDmE4f1Nm+
pbxTWvY3tmBH+E8sS7kWsDQACB0FnHJqwtWSW8/KqZroIR5+lPvr+RFhZPkIPehNF0pKxwHoQBTg
2MIdQkErEUEP7yMLBtN6bOb4L/ObrnrUtSTTUUx2f3TOqU8nO2J736znZY/fQvV8q+1v5iu2vGOZ
MRLXfwAAAP//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83820</xdr:rowOff>
    </xdr:from>
    <xdr:to>
      <xdr:col>15</xdr:col>
      <xdr:colOff>175260</xdr:colOff>
      <xdr:row>3</xdr:row>
      <xdr:rowOff>160020</xdr:rowOff>
    </xdr:to>
    <xdr:sp macro="" textlink="">
      <xdr:nvSpPr>
        <xdr:cNvPr id="2" name="Rectangle: Rounded Corners 1">
          <a:extLst>
            <a:ext uri="{FF2B5EF4-FFF2-40B4-BE49-F238E27FC236}">
              <a16:creationId xmlns:a16="http://schemas.microsoft.com/office/drawing/2014/main" id="{5E0EBB9D-A380-2902-B957-266A2606B579}"/>
            </a:ext>
          </a:extLst>
        </xdr:cNvPr>
        <xdr:cNvSpPr/>
      </xdr:nvSpPr>
      <xdr:spPr>
        <a:xfrm>
          <a:off x="91440" y="83820"/>
          <a:ext cx="9227820" cy="624840"/>
        </a:xfrm>
        <a:prstGeom prst="roundRect">
          <a:avLst/>
        </a:prstGeom>
        <a:solidFill>
          <a:srgbClr val="00215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4</xdr:row>
      <xdr:rowOff>7620</xdr:rowOff>
    </xdr:from>
    <xdr:to>
      <xdr:col>2</xdr:col>
      <xdr:colOff>129540</xdr:colOff>
      <xdr:row>29</xdr:row>
      <xdr:rowOff>7620</xdr:rowOff>
    </xdr:to>
    <xdr:sp macro="" textlink="">
      <xdr:nvSpPr>
        <xdr:cNvPr id="3" name="Rectangle: Rounded Corners 2">
          <a:extLst>
            <a:ext uri="{FF2B5EF4-FFF2-40B4-BE49-F238E27FC236}">
              <a16:creationId xmlns:a16="http://schemas.microsoft.com/office/drawing/2014/main" id="{F4427074-B189-AA98-08E9-4B744D3B09CB}"/>
            </a:ext>
          </a:extLst>
        </xdr:cNvPr>
        <xdr:cNvSpPr/>
      </xdr:nvSpPr>
      <xdr:spPr>
        <a:xfrm>
          <a:off x="76200" y="739140"/>
          <a:ext cx="1272540" cy="4572000"/>
        </a:xfrm>
        <a:prstGeom prst="roundRect">
          <a:avLst/>
        </a:prstGeom>
        <a:solidFill>
          <a:schemeClr val="bg1"/>
        </a:solidFill>
        <a:ln w="31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4</xdr:row>
      <xdr:rowOff>91440</xdr:rowOff>
    </xdr:from>
    <xdr:to>
      <xdr:col>4</xdr:col>
      <xdr:colOff>449580</xdr:colOff>
      <xdr:row>7</xdr:row>
      <xdr:rowOff>129540</xdr:rowOff>
    </xdr:to>
    <xdr:sp macro="" textlink="">
      <xdr:nvSpPr>
        <xdr:cNvPr id="4" name="Rectangle: Rounded Corners 3">
          <a:extLst>
            <a:ext uri="{FF2B5EF4-FFF2-40B4-BE49-F238E27FC236}">
              <a16:creationId xmlns:a16="http://schemas.microsoft.com/office/drawing/2014/main" id="{76CB0B3E-2D75-B86E-4661-6189116D8772}"/>
            </a:ext>
          </a:extLst>
        </xdr:cNvPr>
        <xdr:cNvSpPr/>
      </xdr:nvSpPr>
      <xdr:spPr>
        <a:xfrm>
          <a:off x="1394460" y="822960"/>
          <a:ext cx="1493520" cy="586740"/>
        </a:xfrm>
        <a:prstGeom prst="roundRect">
          <a:avLst/>
        </a:prstGeom>
        <a:gradFill>
          <a:gsLst>
            <a:gs pos="37000">
              <a:srgbClr val="7DB9F8"/>
            </a:gs>
            <a:gs pos="0">
              <a:srgbClr val="4C9BFA"/>
            </a:gs>
            <a:gs pos="74000">
              <a:srgbClr val="DCEEFF"/>
            </a:gs>
            <a:gs pos="100000">
              <a:schemeClr val="bg1"/>
            </a:gs>
            <a:gs pos="100000">
              <a:schemeClr val="accent1">
                <a:lumMod val="30000"/>
                <a:lumOff val="70000"/>
              </a:schemeClr>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556260</xdr:colOff>
      <xdr:row>4</xdr:row>
      <xdr:rowOff>106680</xdr:rowOff>
    </xdr:from>
    <xdr:to>
      <xdr:col>7</xdr:col>
      <xdr:colOff>220980</xdr:colOff>
      <xdr:row>7</xdr:row>
      <xdr:rowOff>144780</xdr:rowOff>
    </xdr:to>
    <xdr:sp macro="" textlink="">
      <xdr:nvSpPr>
        <xdr:cNvPr id="5" name="Rectangle: Rounded Corners 4">
          <a:extLst>
            <a:ext uri="{FF2B5EF4-FFF2-40B4-BE49-F238E27FC236}">
              <a16:creationId xmlns:a16="http://schemas.microsoft.com/office/drawing/2014/main" id="{C6553864-56F9-E0A5-218D-AC4FF98E58F1}"/>
            </a:ext>
          </a:extLst>
        </xdr:cNvPr>
        <xdr:cNvSpPr/>
      </xdr:nvSpPr>
      <xdr:spPr>
        <a:xfrm>
          <a:off x="2994660" y="838200"/>
          <a:ext cx="1493520" cy="586740"/>
        </a:xfrm>
        <a:prstGeom prst="roundRect">
          <a:avLst/>
        </a:prstGeom>
        <a:gradFill>
          <a:gsLst>
            <a:gs pos="37000">
              <a:srgbClr val="86EFAC"/>
            </a:gs>
            <a:gs pos="0">
              <a:srgbClr val="22C556"/>
            </a:gs>
            <a:gs pos="74000">
              <a:srgbClr val="B7F0C8"/>
            </a:gs>
            <a:gs pos="100000">
              <a:srgbClr val="FFFFFF"/>
            </a:gs>
            <a:gs pos="100000">
              <a:schemeClr val="accent1">
                <a:lumMod val="30000"/>
                <a:lumOff val="70000"/>
              </a:schemeClr>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327660</xdr:colOff>
      <xdr:row>4</xdr:row>
      <xdr:rowOff>129540</xdr:rowOff>
    </xdr:from>
    <xdr:to>
      <xdr:col>9</xdr:col>
      <xdr:colOff>601980</xdr:colOff>
      <xdr:row>7</xdr:row>
      <xdr:rowOff>167640</xdr:rowOff>
    </xdr:to>
    <xdr:sp macro="" textlink="">
      <xdr:nvSpPr>
        <xdr:cNvPr id="6" name="Rectangle: Rounded Corners 5">
          <a:extLst>
            <a:ext uri="{FF2B5EF4-FFF2-40B4-BE49-F238E27FC236}">
              <a16:creationId xmlns:a16="http://schemas.microsoft.com/office/drawing/2014/main" id="{B0A483DA-82F8-617D-9DCB-BC4F3801D210}"/>
            </a:ext>
          </a:extLst>
        </xdr:cNvPr>
        <xdr:cNvSpPr/>
      </xdr:nvSpPr>
      <xdr:spPr>
        <a:xfrm>
          <a:off x="4594860" y="861060"/>
          <a:ext cx="1493520" cy="586740"/>
        </a:xfrm>
        <a:prstGeom prst="roundRect">
          <a:avLst/>
        </a:prstGeom>
        <a:gradFill>
          <a:gsLst>
            <a:gs pos="37000">
              <a:srgbClr val="FCD34D"/>
            </a:gs>
            <a:gs pos="0">
              <a:srgbClr val="F59E0B"/>
            </a:gs>
            <a:gs pos="74000">
              <a:srgbClr val="FFE19A"/>
            </a:gs>
            <a:gs pos="100000">
              <a:srgbClr val="FFFFFF"/>
            </a:gs>
            <a:gs pos="100000">
              <a:schemeClr val="accent1">
                <a:lumMod val="30000"/>
                <a:lumOff val="70000"/>
              </a:schemeClr>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106680</xdr:colOff>
      <xdr:row>4</xdr:row>
      <xdr:rowOff>129540</xdr:rowOff>
    </xdr:from>
    <xdr:to>
      <xdr:col>12</xdr:col>
      <xdr:colOff>381000</xdr:colOff>
      <xdr:row>7</xdr:row>
      <xdr:rowOff>167640</xdr:rowOff>
    </xdr:to>
    <xdr:sp macro="" textlink="">
      <xdr:nvSpPr>
        <xdr:cNvPr id="7" name="Rectangle: Rounded Corners 6">
          <a:extLst>
            <a:ext uri="{FF2B5EF4-FFF2-40B4-BE49-F238E27FC236}">
              <a16:creationId xmlns:a16="http://schemas.microsoft.com/office/drawing/2014/main" id="{3754B740-D9C4-7834-CC59-739FE0C31E2C}"/>
            </a:ext>
          </a:extLst>
        </xdr:cNvPr>
        <xdr:cNvSpPr/>
      </xdr:nvSpPr>
      <xdr:spPr>
        <a:xfrm>
          <a:off x="6202680" y="861060"/>
          <a:ext cx="1493520" cy="586740"/>
        </a:xfrm>
        <a:prstGeom prst="roundRect">
          <a:avLst/>
        </a:prstGeom>
        <a:gradFill>
          <a:gsLst>
            <a:gs pos="37000">
              <a:srgbClr val="C4B5FD"/>
            </a:gs>
            <a:gs pos="0">
              <a:srgbClr val="8B5CF6"/>
            </a:gs>
            <a:gs pos="74000">
              <a:srgbClr val="DDB8F5"/>
            </a:gs>
            <a:gs pos="100000">
              <a:schemeClr val="bg1"/>
            </a:gs>
            <a:gs pos="100000">
              <a:schemeClr val="accent1">
                <a:lumMod val="30000"/>
                <a:lumOff val="70000"/>
              </a:schemeClr>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495300</xdr:colOff>
      <xdr:row>4</xdr:row>
      <xdr:rowOff>121920</xdr:rowOff>
    </xdr:from>
    <xdr:to>
      <xdr:col>15</xdr:col>
      <xdr:colOff>160020</xdr:colOff>
      <xdr:row>7</xdr:row>
      <xdr:rowOff>160020</xdr:rowOff>
    </xdr:to>
    <xdr:sp macro="" textlink="">
      <xdr:nvSpPr>
        <xdr:cNvPr id="8" name="Rectangle: Rounded Corners 7">
          <a:extLst>
            <a:ext uri="{FF2B5EF4-FFF2-40B4-BE49-F238E27FC236}">
              <a16:creationId xmlns:a16="http://schemas.microsoft.com/office/drawing/2014/main" id="{E76CC77E-9F96-EF41-E61A-6AEC5A35F618}"/>
            </a:ext>
          </a:extLst>
        </xdr:cNvPr>
        <xdr:cNvSpPr/>
      </xdr:nvSpPr>
      <xdr:spPr>
        <a:xfrm>
          <a:off x="7810500" y="853440"/>
          <a:ext cx="1493520" cy="586740"/>
        </a:xfrm>
        <a:prstGeom prst="roundRect">
          <a:avLst/>
        </a:prstGeom>
        <a:gradFill>
          <a:gsLst>
            <a:gs pos="37000">
              <a:srgbClr val="FB7185"/>
            </a:gs>
            <a:gs pos="0">
              <a:srgbClr val="F43F5E"/>
            </a:gs>
            <a:gs pos="74000">
              <a:srgbClr val="FFB6C5"/>
            </a:gs>
            <a:gs pos="100000">
              <a:schemeClr val="bg1"/>
            </a:gs>
            <a:gs pos="100000">
              <a:schemeClr val="accent1">
                <a:lumMod val="30000"/>
                <a:lumOff val="70000"/>
              </a:schemeClr>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190500</xdr:colOff>
      <xdr:row>8</xdr:row>
      <xdr:rowOff>83820</xdr:rowOff>
    </xdr:from>
    <xdr:to>
      <xdr:col>6</xdr:col>
      <xdr:colOff>304800</xdr:colOff>
      <xdr:row>17</xdr:row>
      <xdr:rowOff>68580</xdr:rowOff>
    </xdr:to>
    <xdr:sp macro="" textlink="">
      <xdr:nvSpPr>
        <xdr:cNvPr id="9" name="Rectangle: Rounded Corners 8">
          <a:extLst>
            <a:ext uri="{FF2B5EF4-FFF2-40B4-BE49-F238E27FC236}">
              <a16:creationId xmlns:a16="http://schemas.microsoft.com/office/drawing/2014/main" id="{9B0946E8-E12D-1FBF-D6C0-F8DE99DDB747}"/>
            </a:ext>
          </a:extLst>
        </xdr:cNvPr>
        <xdr:cNvSpPr/>
      </xdr:nvSpPr>
      <xdr:spPr>
        <a:xfrm>
          <a:off x="1409700" y="1546860"/>
          <a:ext cx="2552700" cy="1630680"/>
        </a:xfrm>
        <a:prstGeom prst="roundRect">
          <a:avLst>
            <a:gd name="adj" fmla="val 6387"/>
          </a:avLst>
        </a:prstGeom>
        <a:solidFill>
          <a:srgbClr val="EAF5FF"/>
        </a:solidFill>
        <a:ln w="12700">
          <a:solidFill>
            <a:srgbClr val="00B0F0"/>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434340</xdr:colOff>
      <xdr:row>8</xdr:row>
      <xdr:rowOff>76200</xdr:rowOff>
    </xdr:from>
    <xdr:to>
      <xdr:col>10</xdr:col>
      <xdr:colOff>548640</xdr:colOff>
      <xdr:row>17</xdr:row>
      <xdr:rowOff>60960</xdr:rowOff>
    </xdr:to>
    <xdr:sp macro="" textlink="">
      <xdr:nvSpPr>
        <xdr:cNvPr id="19" name="Rectangle: Rounded Corners 18">
          <a:extLst>
            <a:ext uri="{FF2B5EF4-FFF2-40B4-BE49-F238E27FC236}">
              <a16:creationId xmlns:a16="http://schemas.microsoft.com/office/drawing/2014/main" id="{BF2C909A-D3DB-3011-41FF-92F7F7E793A9}"/>
            </a:ext>
          </a:extLst>
        </xdr:cNvPr>
        <xdr:cNvSpPr/>
      </xdr:nvSpPr>
      <xdr:spPr>
        <a:xfrm>
          <a:off x="4091940" y="1539240"/>
          <a:ext cx="2552700" cy="1630680"/>
        </a:xfrm>
        <a:prstGeom prst="roundRect">
          <a:avLst>
            <a:gd name="adj" fmla="val 6387"/>
          </a:avLst>
        </a:prstGeom>
        <a:solidFill>
          <a:srgbClr val="E8FFF0"/>
        </a:solidFill>
        <a:ln w="12700">
          <a:solidFill>
            <a:srgbClr val="00B050"/>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53340</xdr:colOff>
      <xdr:row>8</xdr:row>
      <xdr:rowOff>83820</xdr:rowOff>
    </xdr:from>
    <xdr:to>
      <xdr:col>15</xdr:col>
      <xdr:colOff>167640</xdr:colOff>
      <xdr:row>17</xdr:row>
      <xdr:rowOff>68580</xdr:rowOff>
    </xdr:to>
    <xdr:sp macro="" textlink="">
      <xdr:nvSpPr>
        <xdr:cNvPr id="20" name="Rectangle: Rounded Corners 19">
          <a:extLst>
            <a:ext uri="{FF2B5EF4-FFF2-40B4-BE49-F238E27FC236}">
              <a16:creationId xmlns:a16="http://schemas.microsoft.com/office/drawing/2014/main" id="{DA6749B6-367F-CFA5-2A46-A5CD074AA794}"/>
            </a:ext>
          </a:extLst>
        </xdr:cNvPr>
        <xdr:cNvSpPr/>
      </xdr:nvSpPr>
      <xdr:spPr>
        <a:xfrm>
          <a:off x="6758940" y="1546860"/>
          <a:ext cx="2552700" cy="1630680"/>
        </a:xfrm>
        <a:prstGeom prst="roundRect">
          <a:avLst>
            <a:gd name="adj" fmla="val 6387"/>
          </a:avLst>
        </a:prstGeom>
        <a:solidFill>
          <a:srgbClr val="FFF8E5"/>
        </a:solidFill>
        <a:ln w="12700">
          <a:solidFill>
            <a:srgbClr val="F4B183"/>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190500</xdr:colOff>
      <xdr:row>17</xdr:row>
      <xdr:rowOff>167640</xdr:rowOff>
    </xdr:from>
    <xdr:to>
      <xdr:col>6</xdr:col>
      <xdr:colOff>304800</xdr:colOff>
      <xdr:row>26</xdr:row>
      <xdr:rowOff>152400</xdr:rowOff>
    </xdr:to>
    <xdr:sp macro="" textlink="">
      <xdr:nvSpPr>
        <xdr:cNvPr id="21" name="Rectangle: Rounded Corners 20">
          <a:extLst>
            <a:ext uri="{FF2B5EF4-FFF2-40B4-BE49-F238E27FC236}">
              <a16:creationId xmlns:a16="http://schemas.microsoft.com/office/drawing/2014/main" id="{51F606E5-B2AA-C9A4-DA5C-6772F30BA3B3}"/>
            </a:ext>
          </a:extLst>
        </xdr:cNvPr>
        <xdr:cNvSpPr/>
      </xdr:nvSpPr>
      <xdr:spPr>
        <a:xfrm>
          <a:off x="1409700" y="3276600"/>
          <a:ext cx="2552700" cy="1630680"/>
        </a:xfrm>
        <a:prstGeom prst="roundRect">
          <a:avLst>
            <a:gd name="adj" fmla="val 6387"/>
          </a:avLst>
        </a:prstGeom>
        <a:solidFill>
          <a:srgbClr val="F7EDFF"/>
        </a:solidFill>
        <a:ln w="12700">
          <a:solidFill>
            <a:srgbClr val="8E44AD"/>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434340</xdr:colOff>
      <xdr:row>17</xdr:row>
      <xdr:rowOff>160020</xdr:rowOff>
    </xdr:from>
    <xdr:to>
      <xdr:col>10</xdr:col>
      <xdr:colOff>548640</xdr:colOff>
      <xdr:row>26</xdr:row>
      <xdr:rowOff>144780</xdr:rowOff>
    </xdr:to>
    <xdr:sp macro="" textlink="">
      <xdr:nvSpPr>
        <xdr:cNvPr id="22" name="Rectangle: Rounded Corners 21">
          <a:extLst>
            <a:ext uri="{FF2B5EF4-FFF2-40B4-BE49-F238E27FC236}">
              <a16:creationId xmlns:a16="http://schemas.microsoft.com/office/drawing/2014/main" id="{5777BE35-709D-636E-E170-0BB6BE1CCE38}"/>
            </a:ext>
          </a:extLst>
        </xdr:cNvPr>
        <xdr:cNvSpPr/>
      </xdr:nvSpPr>
      <xdr:spPr>
        <a:xfrm>
          <a:off x="4091940" y="3268980"/>
          <a:ext cx="2552700" cy="1630680"/>
        </a:xfrm>
        <a:prstGeom prst="roundRect">
          <a:avLst>
            <a:gd name="adj" fmla="val 6387"/>
          </a:avLst>
        </a:prstGeom>
        <a:solidFill>
          <a:srgbClr val="FFF0F3"/>
        </a:solidFill>
        <a:ln w="12700">
          <a:solidFill>
            <a:srgbClr val="FF4D6D"/>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53340</xdr:colOff>
      <xdr:row>17</xdr:row>
      <xdr:rowOff>167640</xdr:rowOff>
    </xdr:from>
    <xdr:to>
      <xdr:col>15</xdr:col>
      <xdr:colOff>167640</xdr:colOff>
      <xdr:row>26</xdr:row>
      <xdr:rowOff>152400</xdr:rowOff>
    </xdr:to>
    <xdr:sp macro="" textlink="">
      <xdr:nvSpPr>
        <xdr:cNvPr id="23" name="Rectangle: Rounded Corners 22">
          <a:extLst>
            <a:ext uri="{FF2B5EF4-FFF2-40B4-BE49-F238E27FC236}">
              <a16:creationId xmlns:a16="http://schemas.microsoft.com/office/drawing/2014/main" id="{411283CC-2640-AA6D-1C88-3E6080C4EC66}"/>
            </a:ext>
          </a:extLst>
        </xdr:cNvPr>
        <xdr:cNvSpPr/>
      </xdr:nvSpPr>
      <xdr:spPr>
        <a:xfrm>
          <a:off x="6758940" y="3276600"/>
          <a:ext cx="2552700" cy="1630680"/>
        </a:xfrm>
        <a:prstGeom prst="roundRect">
          <a:avLst>
            <a:gd name="adj" fmla="val 6387"/>
          </a:avLst>
        </a:prstGeom>
        <a:solidFill>
          <a:srgbClr val="EAF5FF"/>
        </a:solidFill>
        <a:ln w="12700">
          <a:solidFill>
            <a:srgbClr val="00B0F0"/>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129540</xdr:colOff>
      <xdr:row>0</xdr:row>
      <xdr:rowOff>121920</xdr:rowOff>
    </xdr:from>
    <xdr:to>
      <xdr:col>3</xdr:col>
      <xdr:colOff>152400</xdr:colOff>
      <xdr:row>3</xdr:row>
      <xdr:rowOff>129540</xdr:rowOff>
    </xdr:to>
    <xdr:pic>
      <xdr:nvPicPr>
        <xdr:cNvPr id="25" name="Picture 24">
          <a:extLst>
            <a:ext uri="{FF2B5EF4-FFF2-40B4-BE49-F238E27FC236}">
              <a16:creationId xmlns:a16="http://schemas.microsoft.com/office/drawing/2014/main" id="{E387741B-EED6-6FC3-F37D-EDBFE02792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40" y="121920"/>
          <a:ext cx="185166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327660</xdr:colOff>
      <xdr:row>0</xdr:row>
      <xdr:rowOff>167640</xdr:rowOff>
    </xdr:from>
    <xdr:to>
      <xdr:col>12</xdr:col>
      <xdr:colOff>0</xdr:colOff>
      <xdr:row>3</xdr:row>
      <xdr:rowOff>91440</xdr:rowOff>
    </xdr:to>
    <xdr:sp macro="" textlink="">
      <xdr:nvSpPr>
        <xdr:cNvPr id="26" name="TextBox 25">
          <a:extLst>
            <a:ext uri="{FF2B5EF4-FFF2-40B4-BE49-F238E27FC236}">
              <a16:creationId xmlns:a16="http://schemas.microsoft.com/office/drawing/2014/main" id="{16A073E2-4384-94CD-69CE-3788F5B4E02C}"/>
            </a:ext>
          </a:extLst>
        </xdr:cNvPr>
        <xdr:cNvSpPr txBox="1"/>
      </xdr:nvSpPr>
      <xdr:spPr>
        <a:xfrm>
          <a:off x="2156460" y="167640"/>
          <a:ext cx="5158740" cy="472440"/>
        </a:xfrm>
        <a:prstGeom prst="rect">
          <a:avLst/>
        </a:prstGeom>
        <a:solidFill>
          <a:srgbClr val="00215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bg1"/>
              </a:solidFill>
            </a:rPr>
            <a:t>Amazon</a:t>
          </a:r>
          <a:r>
            <a:rPr lang="en-IN" sz="2800"/>
            <a:t> </a:t>
          </a:r>
          <a:r>
            <a:rPr lang="en-IN" sz="2800">
              <a:solidFill>
                <a:srgbClr val="FFC000"/>
              </a:solidFill>
            </a:rPr>
            <a:t>Sales Dashboard</a:t>
          </a:r>
        </a:p>
      </xdr:txBody>
    </xdr:sp>
    <xdr:clientData/>
  </xdr:twoCellAnchor>
  <xdr:twoCellAnchor editAs="oneCell">
    <xdr:from>
      <xdr:col>14</xdr:col>
      <xdr:colOff>106680</xdr:colOff>
      <xdr:row>1</xdr:row>
      <xdr:rowOff>7620</xdr:rowOff>
    </xdr:from>
    <xdr:to>
      <xdr:col>15</xdr:col>
      <xdr:colOff>68580</xdr:colOff>
      <xdr:row>3</xdr:row>
      <xdr:rowOff>99060</xdr:rowOff>
    </xdr:to>
    <xdr:pic>
      <xdr:nvPicPr>
        <xdr:cNvPr id="27" name="Picture 26">
          <a:extLst>
            <a:ext uri="{FF2B5EF4-FFF2-40B4-BE49-F238E27FC236}">
              <a16:creationId xmlns:a16="http://schemas.microsoft.com/office/drawing/2014/main" id="{143C5502-F14E-59C4-3BE1-8C490EE792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1080" y="190500"/>
          <a:ext cx="5715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175260</xdr:colOff>
      <xdr:row>4</xdr:row>
      <xdr:rowOff>102059</xdr:rowOff>
    </xdr:from>
    <xdr:to>
      <xdr:col>2</xdr:col>
      <xdr:colOff>510540</xdr:colOff>
      <xdr:row>6</xdr:row>
      <xdr:rowOff>93565</xdr:rowOff>
    </xdr:to>
    <xdr:pic>
      <xdr:nvPicPr>
        <xdr:cNvPr id="29" name="Picture 28">
          <a:extLst>
            <a:ext uri="{FF2B5EF4-FFF2-40B4-BE49-F238E27FC236}">
              <a16:creationId xmlns:a16="http://schemas.microsoft.com/office/drawing/2014/main" id="{26B7E4B7-71AD-8FA9-CE25-86A1B021935E}"/>
            </a:ext>
          </a:extLst>
        </xdr:cNvPr>
        <xdr:cNvPicPr>
          <a:picLocks noChangeAspect="1"/>
        </xdr:cNvPicPr>
      </xdr:nvPicPr>
      <xdr:blipFill>
        <a:blip xmlns:r="http://schemas.openxmlformats.org/officeDocument/2006/relationships" r:embed="rId3"/>
        <a:stretch>
          <a:fillRect/>
        </a:stretch>
      </xdr:blipFill>
      <xdr:spPr>
        <a:xfrm>
          <a:off x="1394460" y="833579"/>
          <a:ext cx="335280" cy="357266"/>
        </a:xfrm>
        <a:prstGeom prst="rect">
          <a:avLst/>
        </a:prstGeom>
      </xdr:spPr>
    </xdr:pic>
    <xdr:clientData/>
  </xdr:twoCellAnchor>
  <xdr:twoCellAnchor editAs="oneCell">
    <xdr:from>
      <xdr:col>12</xdr:col>
      <xdr:colOff>541020</xdr:colOff>
      <xdr:row>5</xdr:row>
      <xdr:rowOff>6051</xdr:rowOff>
    </xdr:from>
    <xdr:to>
      <xdr:col>13</xdr:col>
      <xdr:colOff>254925</xdr:colOff>
      <xdr:row>6</xdr:row>
      <xdr:rowOff>137161</xdr:rowOff>
    </xdr:to>
    <xdr:pic>
      <xdr:nvPicPr>
        <xdr:cNvPr id="30" name="Picture 29">
          <a:extLst>
            <a:ext uri="{FF2B5EF4-FFF2-40B4-BE49-F238E27FC236}">
              <a16:creationId xmlns:a16="http://schemas.microsoft.com/office/drawing/2014/main" id="{FCD6554D-2A1C-48DC-B380-5712C8F5EF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56220" y="920451"/>
          <a:ext cx="323505" cy="313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350520</xdr:colOff>
      <xdr:row>4</xdr:row>
      <xdr:rowOff>152400</xdr:rowOff>
    </xdr:from>
    <xdr:to>
      <xdr:col>8</xdr:col>
      <xdr:colOff>68580</xdr:colOff>
      <xdr:row>6</xdr:row>
      <xdr:rowOff>119049</xdr:rowOff>
    </xdr:to>
    <xdr:pic>
      <xdr:nvPicPr>
        <xdr:cNvPr id="31" name="Picture 30">
          <a:extLst>
            <a:ext uri="{FF2B5EF4-FFF2-40B4-BE49-F238E27FC236}">
              <a16:creationId xmlns:a16="http://schemas.microsoft.com/office/drawing/2014/main" id="{DB4C28E8-E314-40A7-75E2-B0A18F7C60E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17720" y="883920"/>
          <a:ext cx="327660" cy="332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15240</xdr:colOff>
      <xdr:row>4</xdr:row>
      <xdr:rowOff>152400</xdr:rowOff>
    </xdr:from>
    <xdr:to>
      <xdr:col>5</xdr:col>
      <xdr:colOff>312420</xdr:colOff>
      <xdr:row>6</xdr:row>
      <xdr:rowOff>88392</xdr:rowOff>
    </xdr:to>
    <xdr:pic>
      <xdr:nvPicPr>
        <xdr:cNvPr id="32" name="Picture 31">
          <a:extLst>
            <a:ext uri="{FF2B5EF4-FFF2-40B4-BE49-F238E27FC236}">
              <a16:creationId xmlns:a16="http://schemas.microsoft.com/office/drawing/2014/main" id="{DD41E700-3CAD-7761-9678-1813339F11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63240" y="883920"/>
          <a:ext cx="297180" cy="3017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144780</xdr:colOff>
      <xdr:row>4</xdr:row>
      <xdr:rowOff>160020</xdr:rowOff>
    </xdr:from>
    <xdr:to>
      <xdr:col>10</xdr:col>
      <xdr:colOff>457200</xdr:colOff>
      <xdr:row>6</xdr:row>
      <xdr:rowOff>106680</xdr:rowOff>
    </xdr:to>
    <xdr:pic>
      <xdr:nvPicPr>
        <xdr:cNvPr id="33" name="Picture 32">
          <a:extLst>
            <a:ext uri="{FF2B5EF4-FFF2-40B4-BE49-F238E27FC236}">
              <a16:creationId xmlns:a16="http://schemas.microsoft.com/office/drawing/2014/main" id="{6497CA88-8C43-3998-EB07-7F97C79A25C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240780" y="891540"/>
          <a:ext cx="31242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464820</xdr:colOff>
      <xdr:row>4</xdr:row>
      <xdr:rowOff>114300</xdr:rowOff>
    </xdr:from>
    <xdr:to>
      <xdr:col>4</xdr:col>
      <xdr:colOff>266700</xdr:colOff>
      <xdr:row>6</xdr:row>
      <xdr:rowOff>38100</xdr:rowOff>
    </xdr:to>
    <xdr:sp macro="" textlink="Pivot!B4">
      <xdr:nvSpPr>
        <xdr:cNvPr id="34" name="TextBox 33">
          <a:extLst>
            <a:ext uri="{FF2B5EF4-FFF2-40B4-BE49-F238E27FC236}">
              <a16:creationId xmlns:a16="http://schemas.microsoft.com/office/drawing/2014/main" id="{905FB39F-DCB8-AAC7-63E7-39F9514AA053}"/>
            </a:ext>
          </a:extLst>
        </xdr:cNvPr>
        <xdr:cNvSpPr txBox="1"/>
      </xdr:nvSpPr>
      <xdr:spPr>
        <a:xfrm>
          <a:off x="1684020" y="845820"/>
          <a:ext cx="10210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06E21-6901-4871-BF38-5B5690A6152A}" type="TxLink">
            <a:rPr lang="en-US" sz="1800" b="1" i="0" u="none" strike="noStrike">
              <a:solidFill>
                <a:srgbClr val="000000"/>
              </a:solidFill>
              <a:latin typeface="Aptos Narrow"/>
            </a:rPr>
            <a:t>23.0M</a:t>
          </a:fld>
          <a:endParaRPr lang="en-IN" sz="1800" b="1">
            <a:solidFill>
              <a:srgbClr val="FFC000"/>
            </a:solidFill>
          </a:endParaRPr>
        </a:p>
      </xdr:txBody>
    </xdr:sp>
    <xdr:clientData/>
  </xdr:twoCellAnchor>
  <xdr:twoCellAnchor>
    <xdr:from>
      <xdr:col>2</xdr:col>
      <xdr:colOff>556260</xdr:colOff>
      <xdr:row>6</xdr:row>
      <xdr:rowOff>53340</xdr:rowOff>
    </xdr:from>
    <xdr:to>
      <xdr:col>4</xdr:col>
      <xdr:colOff>236220</xdr:colOff>
      <xdr:row>7</xdr:row>
      <xdr:rowOff>68580</xdr:rowOff>
    </xdr:to>
    <xdr:sp macro="" textlink="Pivot!B4">
      <xdr:nvSpPr>
        <xdr:cNvPr id="35" name="TextBox 34">
          <a:extLst>
            <a:ext uri="{FF2B5EF4-FFF2-40B4-BE49-F238E27FC236}">
              <a16:creationId xmlns:a16="http://schemas.microsoft.com/office/drawing/2014/main" id="{57CDE3E9-9AF2-F37E-DD73-4C9FE2AA320E}"/>
            </a:ext>
          </a:extLst>
        </xdr:cNvPr>
        <xdr:cNvSpPr txBox="1"/>
      </xdr:nvSpPr>
      <xdr:spPr>
        <a:xfrm>
          <a:off x="1775460" y="1150620"/>
          <a:ext cx="8991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ysClr val="windowText" lastClr="000000"/>
              </a:solidFill>
            </a:rPr>
            <a:t>Total</a:t>
          </a:r>
          <a:r>
            <a:rPr lang="en-IN" sz="1200" b="0" baseline="0">
              <a:solidFill>
                <a:sysClr val="windowText" lastClr="000000"/>
              </a:solidFill>
            </a:rPr>
            <a:t> Sales</a:t>
          </a:r>
          <a:endParaRPr lang="en-IN" sz="1200" b="0">
            <a:solidFill>
              <a:sysClr val="windowText" lastClr="000000"/>
            </a:solidFill>
          </a:endParaRPr>
        </a:p>
      </xdr:txBody>
    </xdr:sp>
    <xdr:clientData/>
  </xdr:twoCellAnchor>
  <xdr:twoCellAnchor>
    <xdr:from>
      <xdr:col>5</xdr:col>
      <xdr:colOff>213360</xdr:colOff>
      <xdr:row>4</xdr:row>
      <xdr:rowOff>137160</xdr:rowOff>
    </xdr:from>
    <xdr:to>
      <xdr:col>6</xdr:col>
      <xdr:colOff>365760</xdr:colOff>
      <xdr:row>6</xdr:row>
      <xdr:rowOff>0</xdr:rowOff>
    </xdr:to>
    <xdr:sp macro="" textlink="Pivot!B3">
      <xdr:nvSpPr>
        <xdr:cNvPr id="36" name="TextBox 35">
          <a:extLst>
            <a:ext uri="{FF2B5EF4-FFF2-40B4-BE49-F238E27FC236}">
              <a16:creationId xmlns:a16="http://schemas.microsoft.com/office/drawing/2014/main" id="{AA4F80B7-049A-851B-D391-B58AF1DFF8AB}"/>
            </a:ext>
          </a:extLst>
        </xdr:cNvPr>
        <xdr:cNvSpPr txBox="1"/>
      </xdr:nvSpPr>
      <xdr:spPr>
        <a:xfrm>
          <a:off x="3261360" y="868680"/>
          <a:ext cx="762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1B9D09-9DE6-44B3-9642-0B26A1689338}" type="TxLink">
            <a:rPr lang="en-US" sz="1800" b="1" i="0" u="none" strike="noStrike">
              <a:solidFill>
                <a:srgbClr val="000000"/>
              </a:solidFill>
              <a:latin typeface="Aptos Narrow"/>
            </a:rPr>
            <a:t>500</a:t>
          </a:fld>
          <a:endParaRPr lang="en-IN" sz="1800" b="1">
            <a:solidFill>
              <a:sysClr val="windowText" lastClr="000000"/>
            </a:solidFill>
          </a:endParaRPr>
        </a:p>
      </xdr:txBody>
    </xdr:sp>
    <xdr:clientData/>
  </xdr:twoCellAnchor>
  <xdr:twoCellAnchor>
    <xdr:from>
      <xdr:col>5</xdr:col>
      <xdr:colOff>205740</xdr:colOff>
      <xdr:row>6</xdr:row>
      <xdr:rowOff>60960</xdr:rowOff>
    </xdr:from>
    <xdr:to>
      <xdr:col>7</xdr:col>
      <xdr:colOff>114300</xdr:colOff>
      <xdr:row>7</xdr:row>
      <xdr:rowOff>45720</xdr:rowOff>
    </xdr:to>
    <xdr:sp macro="" textlink="Pivot!B4">
      <xdr:nvSpPr>
        <xdr:cNvPr id="37" name="TextBox 36">
          <a:extLst>
            <a:ext uri="{FF2B5EF4-FFF2-40B4-BE49-F238E27FC236}">
              <a16:creationId xmlns:a16="http://schemas.microsoft.com/office/drawing/2014/main" id="{981B02F0-A32D-13A4-839D-0967D91AB6FD}"/>
            </a:ext>
          </a:extLst>
        </xdr:cNvPr>
        <xdr:cNvSpPr txBox="1"/>
      </xdr:nvSpPr>
      <xdr:spPr>
        <a:xfrm>
          <a:off x="3253740" y="1158240"/>
          <a:ext cx="112776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ysClr val="windowText" lastClr="000000"/>
              </a:solidFill>
            </a:rPr>
            <a:t>Total</a:t>
          </a:r>
          <a:r>
            <a:rPr lang="en-IN" sz="1200" b="0" baseline="0">
              <a:solidFill>
                <a:sysClr val="windowText" lastClr="000000"/>
              </a:solidFill>
            </a:rPr>
            <a:t> Orders</a:t>
          </a:r>
          <a:endParaRPr lang="en-IN" sz="1200" b="0">
            <a:solidFill>
              <a:sysClr val="windowText" lastClr="000000"/>
            </a:solidFill>
          </a:endParaRPr>
        </a:p>
      </xdr:txBody>
    </xdr:sp>
    <xdr:clientData/>
  </xdr:twoCellAnchor>
  <xdr:twoCellAnchor>
    <xdr:from>
      <xdr:col>8</xdr:col>
      <xdr:colOff>38100</xdr:colOff>
      <xdr:row>6</xdr:row>
      <xdr:rowOff>53340</xdr:rowOff>
    </xdr:from>
    <xdr:to>
      <xdr:col>9</xdr:col>
      <xdr:colOff>541020</xdr:colOff>
      <xdr:row>7</xdr:row>
      <xdr:rowOff>68580</xdr:rowOff>
    </xdr:to>
    <xdr:sp macro="" textlink="Pivot!B4">
      <xdr:nvSpPr>
        <xdr:cNvPr id="38" name="TextBox 37">
          <a:extLst>
            <a:ext uri="{FF2B5EF4-FFF2-40B4-BE49-F238E27FC236}">
              <a16:creationId xmlns:a16="http://schemas.microsoft.com/office/drawing/2014/main" id="{5E859CF2-FFA8-A7F3-8E53-F6DFF868832A}"/>
            </a:ext>
          </a:extLst>
        </xdr:cNvPr>
        <xdr:cNvSpPr txBox="1"/>
      </xdr:nvSpPr>
      <xdr:spPr>
        <a:xfrm>
          <a:off x="4914900" y="1150620"/>
          <a:ext cx="11125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ysClr val="windowText" lastClr="000000"/>
              </a:solidFill>
            </a:rPr>
            <a:t>Total</a:t>
          </a:r>
          <a:r>
            <a:rPr lang="en-IN" sz="1200" b="0" baseline="0">
              <a:solidFill>
                <a:sysClr val="windowText" lastClr="000000"/>
              </a:solidFill>
            </a:rPr>
            <a:t> Quantity</a:t>
          </a:r>
          <a:endParaRPr lang="en-IN" sz="1200" b="0">
            <a:solidFill>
              <a:sysClr val="windowText" lastClr="000000"/>
            </a:solidFill>
          </a:endParaRPr>
        </a:p>
      </xdr:txBody>
    </xdr:sp>
    <xdr:clientData/>
  </xdr:twoCellAnchor>
  <xdr:twoCellAnchor>
    <xdr:from>
      <xdr:col>7</xdr:col>
      <xdr:colOff>556260</xdr:colOff>
      <xdr:row>4</xdr:row>
      <xdr:rowOff>152400</xdr:rowOff>
    </xdr:from>
    <xdr:to>
      <xdr:col>9</xdr:col>
      <xdr:colOff>236220</xdr:colOff>
      <xdr:row>5</xdr:row>
      <xdr:rowOff>167640</xdr:rowOff>
    </xdr:to>
    <xdr:sp macro="" textlink="Pivot!B5">
      <xdr:nvSpPr>
        <xdr:cNvPr id="39" name="TextBox 38">
          <a:extLst>
            <a:ext uri="{FF2B5EF4-FFF2-40B4-BE49-F238E27FC236}">
              <a16:creationId xmlns:a16="http://schemas.microsoft.com/office/drawing/2014/main" id="{6AFB5908-D148-C8C0-0209-422FC0502AAB}"/>
            </a:ext>
          </a:extLst>
        </xdr:cNvPr>
        <xdr:cNvSpPr txBox="1"/>
      </xdr:nvSpPr>
      <xdr:spPr>
        <a:xfrm>
          <a:off x="4823460" y="883920"/>
          <a:ext cx="8991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BF7614-25E8-4F23-8132-BBAA70C0AD49}" type="TxLink">
            <a:rPr lang="en-US" sz="1800" b="1" i="0" u="none" strike="noStrike">
              <a:solidFill>
                <a:srgbClr val="000000"/>
              </a:solidFill>
              <a:latin typeface="Aptos Narrow"/>
              <a:ea typeface="+mn-ea"/>
              <a:cs typeface="+mn-cs"/>
            </a:rPr>
            <a:pPr marL="0" indent="0" algn="ctr"/>
            <a:t>2.3K</a:t>
          </a:fld>
          <a:endParaRPr lang="en-IN" sz="1800" b="1" i="0" u="none" strike="noStrike">
            <a:solidFill>
              <a:srgbClr val="000000"/>
            </a:solidFill>
            <a:latin typeface="Aptos Narrow"/>
            <a:ea typeface="+mn-ea"/>
            <a:cs typeface="+mn-cs"/>
          </a:endParaRPr>
        </a:p>
      </xdr:txBody>
    </xdr:sp>
    <xdr:clientData/>
  </xdr:twoCellAnchor>
  <xdr:twoCellAnchor>
    <xdr:from>
      <xdr:col>10</xdr:col>
      <xdr:colOff>312420</xdr:colOff>
      <xdr:row>4</xdr:row>
      <xdr:rowOff>167640</xdr:rowOff>
    </xdr:from>
    <xdr:to>
      <xdr:col>11</xdr:col>
      <xdr:colOff>601980</xdr:colOff>
      <xdr:row>6</xdr:row>
      <xdr:rowOff>0</xdr:rowOff>
    </xdr:to>
    <xdr:sp macro="" textlink="Pivot!B6">
      <xdr:nvSpPr>
        <xdr:cNvPr id="40" name="TextBox 39">
          <a:extLst>
            <a:ext uri="{FF2B5EF4-FFF2-40B4-BE49-F238E27FC236}">
              <a16:creationId xmlns:a16="http://schemas.microsoft.com/office/drawing/2014/main" id="{C133A523-9089-EBA5-F927-3973707F0600}"/>
            </a:ext>
          </a:extLst>
        </xdr:cNvPr>
        <xdr:cNvSpPr txBox="1"/>
      </xdr:nvSpPr>
      <xdr:spPr>
        <a:xfrm>
          <a:off x="6408420" y="899160"/>
          <a:ext cx="8991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69C0FC-B34E-4C81-BD42-A860826E4DF4}" type="TxLink">
            <a:rPr lang="en-US" sz="1800" b="1" i="0" u="none" strike="noStrike">
              <a:solidFill>
                <a:srgbClr val="000000"/>
              </a:solidFill>
              <a:latin typeface="Aptos Narrow"/>
              <a:ea typeface="+mn-ea"/>
              <a:cs typeface="+mn-cs"/>
            </a:rPr>
            <a:pPr marL="0" indent="0" algn="ctr"/>
            <a:t>4.12</a:t>
          </a:fld>
          <a:endParaRPr lang="en-IN" sz="1800" b="1" i="0" u="none" strike="noStrike">
            <a:solidFill>
              <a:srgbClr val="000000"/>
            </a:solidFill>
            <a:latin typeface="Aptos Narrow"/>
            <a:ea typeface="+mn-ea"/>
            <a:cs typeface="+mn-cs"/>
          </a:endParaRPr>
        </a:p>
      </xdr:txBody>
    </xdr:sp>
    <xdr:clientData/>
  </xdr:twoCellAnchor>
  <xdr:twoCellAnchor>
    <xdr:from>
      <xdr:col>13</xdr:col>
      <xdr:colOff>144780</xdr:colOff>
      <xdr:row>6</xdr:row>
      <xdr:rowOff>114300</xdr:rowOff>
    </xdr:from>
    <xdr:to>
      <xdr:col>15</xdr:col>
      <xdr:colOff>175260</xdr:colOff>
      <xdr:row>7</xdr:row>
      <xdr:rowOff>99060</xdr:rowOff>
    </xdr:to>
    <xdr:sp macro="" textlink="Pivot!B4">
      <xdr:nvSpPr>
        <xdr:cNvPr id="41" name="TextBox 40">
          <a:extLst>
            <a:ext uri="{FF2B5EF4-FFF2-40B4-BE49-F238E27FC236}">
              <a16:creationId xmlns:a16="http://schemas.microsoft.com/office/drawing/2014/main" id="{5EE21701-DA40-E678-686B-1533ED5EF2DB}"/>
            </a:ext>
          </a:extLst>
        </xdr:cNvPr>
        <xdr:cNvSpPr txBox="1"/>
      </xdr:nvSpPr>
      <xdr:spPr>
        <a:xfrm>
          <a:off x="8069580" y="1211580"/>
          <a:ext cx="12496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ysClr val="windowText" lastClr="000000"/>
              </a:solidFill>
            </a:rPr>
            <a:t>Average</a:t>
          </a:r>
          <a:r>
            <a:rPr lang="en-IN" sz="1200" b="0" baseline="0">
              <a:solidFill>
                <a:sysClr val="windowText" lastClr="000000"/>
              </a:solidFill>
            </a:rPr>
            <a:t> Delivery</a:t>
          </a:r>
          <a:endParaRPr lang="en-IN" sz="1200" b="0">
            <a:solidFill>
              <a:sysClr val="windowText" lastClr="000000"/>
            </a:solidFill>
          </a:endParaRPr>
        </a:p>
      </xdr:txBody>
    </xdr:sp>
    <xdr:clientData/>
  </xdr:twoCellAnchor>
  <xdr:twoCellAnchor>
    <xdr:from>
      <xdr:col>13</xdr:col>
      <xdr:colOff>76200</xdr:colOff>
      <xdr:row>4</xdr:row>
      <xdr:rowOff>175260</xdr:rowOff>
    </xdr:from>
    <xdr:to>
      <xdr:col>14</xdr:col>
      <xdr:colOff>365760</xdr:colOff>
      <xdr:row>6</xdr:row>
      <xdr:rowOff>7620</xdr:rowOff>
    </xdr:to>
    <xdr:sp macro="" textlink="Pivot!B7">
      <xdr:nvSpPr>
        <xdr:cNvPr id="42" name="TextBox 41">
          <a:extLst>
            <a:ext uri="{FF2B5EF4-FFF2-40B4-BE49-F238E27FC236}">
              <a16:creationId xmlns:a16="http://schemas.microsoft.com/office/drawing/2014/main" id="{FF467BAD-05CC-1E7E-BA14-4D77DF9CFE10}"/>
            </a:ext>
          </a:extLst>
        </xdr:cNvPr>
        <xdr:cNvSpPr txBox="1"/>
      </xdr:nvSpPr>
      <xdr:spPr>
        <a:xfrm>
          <a:off x="8001000" y="906780"/>
          <a:ext cx="8991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4A0BE6-A065-4C18-B61D-451C610C064B}" type="TxLink">
            <a:rPr lang="en-US" sz="1800" b="1" i="0" u="none" strike="noStrike">
              <a:solidFill>
                <a:srgbClr val="000000"/>
              </a:solidFill>
              <a:latin typeface="Aptos Narrow"/>
              <a:ea typeface="+mn-ea"/>
              <a:cs typeface="+mn-cs"/>
            </a:rPr>
            <a:pPr marL="0" indent="0" algn="ctr"/>
            <a:t>4.29</a:t>
          </a:fld>
          <a:endParaRPr lang="en-IN" sz="1800" b="1" i="0" u="none" strike="noStrike">
            <a:solidFill>
              <a:srgbClr val="000000"/>
            </a:solidFill>
            <a:latin typeface="Aptos Narrow"/>
            <a:ea typeface="+mn-ea"/>
            <a:cs typeface="+mn-cs"/>
          </a:endParaRPr>
        </a:p>
      </xdr:txBody>
    </xdr:sp>
    <xdr:clientData/>
  </xdr:twoCellAnchor>
  <xdr:twoCellAnchor>
    <xdr:from>
      <xdr:col>10</xdr:col>
      <xdr:colOff>365760</xdr:colOff>
      <xdr:row>6</xdr:row>
      <xdr:rowOff>53340</xdr:rowOff>
    </xdr:from>
    <xdr:to>
      <xdr:col>12</xdr:col>
      <xdr:colOff>350520</xdr:colOff>
      <xdr:row>7</xdr:row>
      <xdr:rowOff>106680</xdr:rowOff>
    </xdr:to>
    <xdr:sp macro="" textlink="Pivot!B4">
      <xdr:nvSpPr>
        <xdr:cNvPr id="43" name="TextBox 42">
          <a:extLst>
            <a:ext uri="{FF2B5EF4-FFF2-40B4-BE49-F238E27FC236}">
              <a16:creationId xmlns:a16="http://schemas.microsoft.com/office/drawing/2014/main" id="{FC7E7091-2DC4-6E5A-0C1F-EE77F10B6130}"/>
            </a:ext>
          </a:extLst>
        </xdr:cNvPr>
        <xdr:cNvSpPr txBox="1"/>
      </xdr:nvSpPr>
      <xdr:spPr>
        <a:xfrm>
          <a:off x="6461760" y="1150620"/>
          <a:ext cx="12039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ysClr val="windowText" lastClr="000000"/>
              </a:solidFill>
            </a:rPr>
            <a:t>Avarage Rating</a:t>
          </a:r>
        </a:p>
      </xdr:txBody>
    </xdr:sp>
    <xdr:clientData/>
  </xdr:twoCellAnchor>
  <xdr:twoCellAnchor>
    <xdr:from>
      <xdr:col>2</xdr:col>
      <xdr:colOff>236220</xdr:colOff>
      <xdr:row>8</xdr:row>
      <xdr:rowOff>144780</xdr:rowOff>
    </xdr:from>
    <xdr:to>
      <xdr:col>6</xdr:col>
      <xdr:colOff>259080</xdr:colOff>
      <xdr:row>17</xdr:row>
      <xdr:rowOff>0</xdr:rowOff>
    </xdr:to>
    <xdr:graphicFrame macro="">
      <xdr:nvGraphicFramePr>
        <xdr:cNvPr id="45" name="Chart 44">
          <a:extLst>
            <a:ext uri="{FF2B5EF4-FFF2-40B4-BE49-F238E27FC236}">
              <a16:creationId xmlns:a16="http://schemas.microsoft.com/office/drawing/2014/main" id="{C978CB0E-321D-47FE-B81E-7EA75183E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121920</xdr:colOff>
      <xdr:row>8</xdr:row>
      <xdr:rowOff>121920</xdr:rowOff>
    </xdr:from>
    <xdr:to>
      <xdr:col>5</xdr:col>
      <xdr:colOff>411480</xdr:colOff>
      <xdr:row>9</xdr:row>
      <xdr:rowOff>99060</xdr:rowOff>
    </xdr:to>
    <xdr:sp macro="" textlink="Pivot!B4">
      <xdr:nvSpPr>
        <xdr:cNvPr id="46" name="TextBox 45">
          <a:extLst>
            <a:ext uri="{FF2B5EF4-FFF2-40B4-BE49-F238E27FC236}">
              <a16:creationId xmlns:a16="http://schemas.microsoft.com/office/drawing/2014/main" id="{6B65DFD6-438B-A458-4ADA-34211650B82F}"/>
            </a:ext>
          </a:extLst>
        </xdr:cNvPr>
        <xdr:cNvSpPr txBox="1"/>
      </xdr:nvSpPr>
      <xdr:spPr>
        <a:xfrm>
          <a:off x="1950720" y="1584960"/>
          <a:ext cx="15087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ysClr val="windowText" lastClr="000000"/>
              </a:solidFill>
            </a:rPr>
            <a:t>Sales by Months</a:t>
          </a:r>
          <a:endParaRPr lang="en-IN" sz="1100" b="1">
            <a:solidFill>
              <a:sysClr val="windowText" lastClr="000000"/>
            </a:solidFill>
          </a:endParaRPr>
        </a:p>
      </xdr:txBody>
    </xdr:sp>
    <xdr:clientData/>
  </xdr:twoCellAnchor>
  <xdr:twoCellAnchor>
    <xdr:from>
      <xdr:col>6</xdr:col>
      <xdr:colOff>457200</xdr:colOff>
      <xdr:row>9</xdr:row>
      <xdr:rowOff>15240</xdr:rowOff>
    </xdr:from>
    <xdr:to>
      <xdr:col>10</xdr:col>
      <xdr:colOff>571500</xdr:colOff>
      <xdr:row>17</xdr:row>
      <xdr:rowOff>76200</xdr:rowOff>
    </xdr:to>
    <xdr:graphicFrame macro="">
      <xdr:nvGraphicFramePr>
        <xdr:cNvPr id="47" name="Chart 46">
          <a:extLst>
            <a:ext uri="{FF2B5EF4-FFF2-40B4-BE49-F238E27FC236}">
              <a16:creationId xmlns:a16="http://schemas.microsoft.com/office/drawing/2014/main" id="{93023390-3354-47A3-8125-03E832196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266700</xdr:colOff>
      <xdr:row>8</xdr:row>
      <xdr:rowOff>114300</xdr:rowOff>
    </xdr:from>
    <xdr:to>
      <xdr:col>9</xdr:col>
      <xdr:colOff>556260</xdr:colOff>
      <xdr:row>9</xdr:row>
      <xdr:rowOff>91440</xdr:rowOff>
    </xdr:to>
    <xdr:sp macro="" textlink="Pivot!B4">
      <xdr:nvSpPr>
        <xdr:cNvPr id="49" name="TextBox 48">
          <a:extLst>
            <a:ext uri="{FF2B5EF4-FFF2-40B4-BE49-F238E27FC236}">
              <a16:creationId xmlns:a16="http://schemas.microsoft.com/office/drawing/2014/main" id="{D2E83F2F-2225-0505-D99B-F120E27D1BF9}"/>
            </a:ext>
          </a:extLst>
        </xdr:cNvPr>
        <xdr:cNvSpPr txBox="1"/>
      </xdr:nvSpPr>
      <xdr:spPr>
        <a:xfrm>
          <a:off x="4533900" y="1577340"/>
          <a:ext cx="15087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ysClr val="windowText" lastClr="000000"/>
              </a:solidFill>
            </a:rPr>
            <a:t>Sales by Category</a:t>
          </a:r>
          <a:endParaRPr lang="en-IN" sz="1100" b="1">
            <a:solidFill>
              <a:sysClr val="windowText" lastClr="000000"/>
            </a:solidFill>
          </a:endParaRPr>
        </a:p>
      </xdr:txBody>
    </xdr:sp>
    <xdr:clientData/>
  </xdr:twoCellAnchor>
  <xdr:twoCellAnchor>
    <xdr:from>
      <xdr:col>10</xdr:col>
      <xdr:colOff>152400</xdr:colOff>
      <xdr:row>8</xdr:row>
      <xdr:rowOff>167640</xdr:rowOff>
    </xdr:from>
    <xdr:to>
      <xdr:col>13</xdr:col>
      <xdr:colOff>533400</xdr:colOff>
      <xdr:row>17</xdr:row>
      <xdr:rowOff>30480</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F9BD5615-B7D3-4D2F-BBE6-0940360710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248400" y="1630680"/>
              <a:ext cx="2209800" cy="1508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571500</xdr:colOff>
      <xdr:row>16</xdr:row>
      <xdr:rowOff>22860</xdr:rowOff>
    </xdr:from>
    <xdr:to>
      <xdr:col>13</xdr:col>
      <xdr:colOff>525780</xdr:colOff>
      <xdr:row>16</xdr:row>
      <xdr:rowOff>152400</xdr:rowOff>
    </xdr:to>
    <xdr:sp macro="" textlink="">
      <xdr:nvSpPr>
        <xdr:cNvPr id="51" name="Rectangle: Rounded Corners 50">
          <a:extLst>
            <a:ext uri="{FF2B5EF4-FFF2-40B4-BE49-F238E27FC236}">
              <a16:creationId xmlns:a16="http://schemas.microsoft.com/office/drawing/2014/main" id="{B1D24D10-4C01-4C0F-8EBA-F8207BFE64A9}"/>
            </a:ext>
          </a:extLst>
        </xdr:cNvPr>
        <xdr:cNvSpPr/>
      </xdr:nvSpPr>
      <xdr:spPr>
        <a:xfrm>
          <a:off x="7277100" y="2948940"/>
          <a:ext cx="1173480" cy="129540"/>
        </a:xfrm>
        <a:prstGeom prst="roundRect">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480060</xdr:colOff>
      <xdr:row>15</xdr:row>
      <xdr:rowOff>76200</xdr:rowOff>
    </xdr:from>
    <xdr:to>
      <xdr:col>13</xdr:col>
      <xdr:colOff>426720</xdr:colOff>
      <xdr:row>16</xdr:row>
      <xdr:rowOff>91440</xdr:rowOff>
    </xdr:to>
    <xdr:sp macro="" textlink="">
      <xdr:nvSpPr>
        <xdr:cNvPr id="53" name="Rectangle: Rounded Corners 52">
          <a:extLst>
            <a:ext uri="{FF2B5EF4-FFF2-40B4-BE49-F238E27FC236}">
              <a16:creationId xmlns:a16="http://schemas.microsoft.com/office/drawing/2014/main" id="{E465F8CD-0065-2056-89C8-7438791F94B9}"/>
            </a:ext>
          </a:extLst>
        </xdr:cNvPr>
        <xdr:cNvSpPr/>
      </xdr:nvSpPr>
      <xdr:spPr>
        <a:xfrm>
          <a:off x="7795260" y="2819400"/>
          <a:ext cx="556260" cy="198120"/>
        </a:xfrm>
        <a:prstGeom prst="roundRect">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396240</xdr:colOff>
      <xdr:row>9</xdr:row>
      <xdr:rowOff>68580</xdr:rowOff>
    </xdr:from>
    <xdr:to>
      <xdr:col>16</xdr:col>
      <xdr:colOff>480060</xdr:colOff>
      <xdr:row>18</xdr:row>
      <xdr:rowOff>7620</xdr:rowOff>
    </xdr:to>
    <xdr:graphicFrame macro="">
      <xdr:nvGraphicFramePr>
        <xdr:cNvPr id="54" name="Chart 53">
          <a:extLst>
            <a:ext uri="{FF2B5EF4-FFF2-40B4-BE49-F238E27FC236}">
              <a16:creationId xmlns:a16="http://schemas.microsoft.com/office/drawing/2014/main" id="{667DF386-DA18-462B-9316-B68DBF24E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586740</xdr:colOff>
      <xdr:row>8</xdr:row>
      <xdr:rowOff>137160</xdr:rowOff>
    </xdr:from>
    <xdr:to>
      <xdr:col>14</xdr:col>
      <xdr:colOff>266700</xdr:colOff>
      <xdr:row>9</xdr:row>
      <xdr:rowOff>114300</xdr:rowOff>
    </xdr:to>
    <xdr:sp macro="" textlink="Pivot!B4">
      <xdr:nvSpPr>
        <xdr:cNvPr id="55" name="TextBox 54">
          <a:extLst>
            <a:ext uri="{FF2B5EF4-FFF2-40B4-BE49-F238E27FC236}">
              <a16:creationId xmlns:a16="http://schemas.microsoft.com/office/drawing/2014/main" id="{F1EDC30A-D659-BA99-BBF9-8B815AB8900F}"/>
            </a:ext>
          </a:extLst>
        </xdr:cNvPr>
        <xdr:cNvSpPr txBox="1"/>
      </xdr:nvSpPr>
      <xdr:spPr>
        <a:xfrm>
          <a:off x="7292340" y="1600200"/>
          <a:ext cx="15087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ysClr val="windowText" lastClr="000000"/>
              </a:solidFill>
            </a:rPr>
            <a:t>Sales by State %</a:t>
          </a:r>
          <a:endParaRPr lang="en-IN" sz="1100" b="1">
            <a:solidFill>
              <a:sysClr val="windowText" lastClr="000000"/>
            </a:solidFill>
          </a:endParaRPr>
        </a:p>
      </xdr:txBody>
    </xdr:sp>
    <xdr:clientData/>
  </xdr:twoCellAnchor>
  <xdr:twoCellAnchor>
    <xdr:from>
      <xdr:col>2</xdr:col>
      <xdr:colOff>30480</xdr:colOff>
      <xdr:row>18</xdr:row>
      <xdr:rowOff>106680</xdr:rowOff>
    </xdr:from>
    <xdr:to>
      <xdr:col>6</xdr:col>
      <xdr:colOff>121920</xdr:colOff>
      <xdr:row>26</xdr:row>
      <xdr:rowOff>106680</xdr:rowOff>
    </xdr:to>
    <xdr:graphicFrame macro="">
      <xdr:nvGraphicFramePr>
        <xdr:cNvPr id="56" name="Chart 55">
          <a:extLst>
            <a:ext uri="{FF2B5EF4-FFF2-40B4-BE49-F238E27FC236}">
              <a16:creationId xmlns:a16="http://schemas.microsoft.com/office/drawing/2014/main" id="{A61DCD4A-F137-4CEE-894C-9A0D3A23F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365760</xdr:colOff>
      <xdr:row>18</xdr:row>
      <xdr:rowOff>0</xdr:rowOff>
    </xdr:from>
    <xdr:to>
      <xdr:col>5</xdr:col>
      <xdr:colOff>533400</xdr:colOff>
      <xdr:row>19</xdr:row>
      <xdr:rowOff>7620</xdr:rowOff>
    </xdr:to>
    <xdr:sp macro="" textlink="Pivot!B4">
      <xdr:nvSpPr>
        <xdr:cNvPr id="57" name="TextBox 56">
          <a:extLst>
            <a:ext uri="{FF2B5EF4-FFF2-40B4-BE49-F238E27FC236}">
              <a16:creationId xmlns:a16="http://schemas.microsoft.com/office/drawing/2014/main" id="{AA24E8EA-B0E3-5301-0BE2-728C2639E251}"/>
            </a:ext>
          </a:extLst>
        </xdr:cNvPr>
        <xdr:cNvSpPr txBox="1"/>
      </xdr:nvSpPr>
      <xdr:spPr>
        <a:xfrm>
          <a:off x="1584960" y="3291840"/>
          <a:ext cx="19964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ysClr val="windowText" lastClr="000000"/>
              </a:solidFill>
            </a:rPr>
            <a:t>Sales by Payment Method</a:t>
          </a:r>
          <a:endParaRPr lang="en-IN" sz="1100" b="1">
            <a:solidFill>
              <a:sysClr val="windowText" lastClr="000000"/>
            </a:solidFill>
          </a:endParaRPr>
        </a:p>
      </xdr:txBody>
    </xdr:sp>
    <xdr:clientData/>
  </xdr:twoCellAnchor>
  <xdr:twoCellAnchor>
    <xdr:from>
      <xdr:col>6</xdr:col>
      <xdr:colOff>403860</xdr:colOff>
      <xdr:row>18</xdr:row>
      <xdr:rowOff>45720</xdr:rowOff>
    </xdr:from>
    <xdr:to>
      <xdr:col>10</xdr:col>
      <xdr:colOff>495300</xdr:colOff>
      <xdr:row>27</xdr:row>
      <xdr:rowOff>7620</xdr:rowOff>
    </xdr:to>
    <xdr:graphicFrame macro="">
      <xdr:nvGraphicFramePr>
        <xdr:cNvPr id="58" name="Chart 57">
          <a:extLst>
            <a:ext uri="{FF2B5EF4-FFF2-40B4-BE49-F238E27FC236}">
              <a16:creationId xmlns:a16="http://schemas.microsoft.com/office/drawing/2014/main" id="{5FB5A3EE-AC74-431D-946D-12BB0A760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449580</xdr:colOff>
      <xdr:row>17</xdr:row>
      <xdr:rowOff>175260</xdr:rowOff>
    </xdr:from>
    <xdr:to>
      <xdr:col>10</xdr:col>
      <xdr:colOff>7620</xdr:colOff>
      <xdr:row>19</xdr:row>
      <xdr:rowOff>0</xdr:rowOff>
    </xdr:to>
    <xdr:sp macro="" textlink="Pivot!B4">
      <xdr:nvSpPr>
        <xdr:cNvPr id="59" name="TextBox 58">
          <a:extLst>
            <a:ext uri="{FF2B5EF4-FFF2-40B4-BE49-F238E27FC236}">
              <a16:creationId xmlns:a16="http://schemas.microsoft.com/office/drawing/2014/main" id="{01F28C32-9E22-56DA-A37F-7AE24D8C97BF}"/>
            </a:ext>
          </a:extLst>
        </xdr:cNvPr>
        <xdr:cNvSpPr txBox="1"/>
      </xdr:nvSpPr>
      <xdr:spPr>
        <a:xfrm>
          <a:off x="4107180" y="3284220"/>
          <a:ext cx="19964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ysClr val="windowText" lastClr="000000"/>
              </a:solidFill>
            </a:rPr>
            <a:t>Sales by Product</a:t>
          </a:r>
          <a:endParaRPr lang="en-IN" sz="1100" b="1">
            <a:solidFill>
              <a:sysClr val="windowText" lastClr="000000"/>
            </a:solidFill>
          </a:endParaRPr>
        </a:p>
      </xdr:txBody>
    </xdr:sp>
    <xdr:clientData/>
  </xdr:twoCellAnchor>
  <xdr:twoCellAnchor>
    <xdr:from>
      <xdr:col>11</xdr:col>
      <xdr:colOff>289560</xdr:colOff>
      <xdr:row>17</xdr:row>
      <xdr:rowOff>167640</xdr:rowOff>
    </xdr:from>
    <xdr:to>
      <xdr:col>14</xdr:col>
      <xdr:colOff>457200</xdr:colOff>
      <xdr:row>18</xdr:row>
      <xdr:rowOff>175260</xdr:rowOff>
    </xdr:to>
    <xdr:sp macro="" textlink="Pivot!B4">
      <xdr:nvSpPr>
        <xdr:cNvPr id="61" name="TextBox 60">
          <a:extLst>
            <a:ext uri="{FF2B5EF4-FFF2-40B4-BE49-F238E27FC236}">
              <a16:creationId xmlns:a16="http://schemas.microsoft.com/office/drawing/2014/main" id="{847DF373-0C60-A599-2FEE-EA8E084BC159}"/>
            </a:ext>
          </a:extLst>
        </xdr:cNvPr>
        <xdr:cNvSpPr txBox="1"/>
      </xdr:nvSpPr>
      <xdr:spPr>
        <a:xfrm>
          <a:off x="6995160" y="3276600"/>
          <a:ext cx="19964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ysClr val="windowText" lastClr="000000"/>
              </a:solidFill>
            </a:rPr>
            <a:t>Order Details</a:t>
          </a:r>
          <a:endParaRPr lang="en-IN" sz="1100" b="1">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11</xdr:col>
          <xdr:colOff>121920</xdr:colOff>
          <xdr:row>18</xdr:row>
          <xdr:rowOff>175260</xdr:rowOff>
        </xdr:from>
        <xdr:to>
          <xdr:col>15</xdr:col>
          <xdr:colOff>129540</xdr:colOff>
          <xdr:row>26</xdr:row>
          <xdr:rowOff>99060</xdr:rowOff>
        </xdr:to>
        <xdr:pic>
          <xdr:nvPicPr>
            <xdr:cNvPr id="62" name="Picture 61">
              <a:extLst>
                <a:ext uri="{FF2B5EF4-FFF2-40B4-BE49-F238E27FC236}">
                  <a16:creationId xmlns:a16="http://schemas.microsoft.com/office/drawing/2014/main" id="{545930A7-E115-23A0-6B35-7A81AC9FD6C9}"/>
                </a:ext>
              </a:extLst>
            </xdr:cNvPr>
            <xdr:cNvPicPr>
              <a:picLocks noChangeAspect="1" noChangeArrowheads="1"/>
              <a:extLst>
                <a:ext uri="{84589F7E-364E-4C9E-8A38-B11213B215E9}">
                  <a14:cameraTool cellRange="Pivot!$V$3:$Z$10" spid="_x0000_s3099"/>
                </a:ext>
              </a:extLst>
            </xdr:cNvPicPr>
          </xdr:nvPicPr>
          <xdr:blipFill>
            <a:blip xmlns:r="http://schemas.openxmlformats.org/officeDocument/2006/relationships" r:embed="rId14"/>
            <a:srcRect/>
            <a:stretch>
              <a:fillRect/>
            </a:stretch>
          </xdr:blipFill>
          <xdr:spPr bwMode="auto">
            <a:xfrm>
              <a:off x="6827520" y="3467100"/>
              <a:ext cx="2446020" cy="138684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0</xdr:col>
      <xdr:colOff>121920</xdr:colOff>
      <xdr:row>14</xdr:row>
      <xdr:rowOff>60960</xdr:rowOff>
    </xdr:from>
    <xdr:to>
      <xdr:col>2</xdr:col>
      <xdr:colOff>78570</xdr:colOff>
      <xdr:row>21</xdr:row>
      <xdr:rowOff>26400</xdr:rowOff>
    </xdr:to>
    <mc:AlternateContent xmlns:mc="http://schemas.openxmlformats.org/markup-compatibility/2006">
      <mc:Choice xmlns:a14="http://schemas.microsoft.com/office/drawing/2010/main" Requires="a14">
        <xdr:graphicFrame macro="">
          <xdr:nvGraphicFramePr>
            <xdr:cNvPr id="63" name="Seller">
              <a:extLst>
                <a:ext uri="{FF2B5EF4-FFF2-40B4-BE49-F238E27FC236}">
                  <a16:creationId xmlns:a16="http://schemas.microsoft.com/office/drawing/2014/main" id="{A6AE365F-B955-45A2-93A4-21562DC7584E}"/>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121920" y="2621280"/>
              <a:ext cx="1175850" cy="124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21</xdr:row>
      <xdr:rowOff>114300</xdr:rowOff>
    </xdr:from>
    <xdr:to>
      <xdr:col>2</xdr:col>
      <xdr:colOff>39390</xdr:colOff>
      <xdr:row>28</xdr:row>
      <xdr:rowOff>79740</xdr:rowOff>
    </xdr:to>
    <mc:AlternateContent xmlns:mc="http://schemas.openxmlformats.org/markup-compatibility/2006">
      <mc:Choice xmlns:a14="http://schemas.microsoft.com/office/drawing/2010/main" Requires="a14">
        <xdr:graphicFrame macro="">
          <xdr:nvGraphicFramePr>
            <xdr:cNvPr id="64" name="Payment_Method">
              <a:extLst>
                <a:ext uri="{FF2B5EF4-FFF2-40B4-BE49-F238E27FC236}">
                  <a16:creationId xmlns:a16="http://schemas.microsoft.com/office/drawing/2014/main" id="{9605EDBB-B1CB-47E8-839F-D7B81CDD2D0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9540" y="3954780"/>
              <a:ext cx="1129050" cy="124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5</xdr:row>
      <xdr:rowOff>0</xdr:rowOff>
    </xdr:from>
    <xdr:to>
      <xdr:col>2</xdr:col>
      <xdr:colOff>121920</xdr:colOff>
      <xdr:row>13</xdr:row>
      <xdr:rowOff>156960</xdr:rowOff>
    </xdr:to>
    <mc:AlternateContent xmlns:mc="http://schemas.openxmlformats.org/markup-compatibility/2006">
      <mc:Choice xmlns:a14="http://schemas.microsoft.com/office/drawing/2010/main" Requires="a14">
        <xdr:graphicFrame macro="">
          <xdr:nvGraphicFramePr>
            <xdr:cNvPr id="65" name="Month">
              <a:extLst>
                <a:ext uri="{FF2B5EF4-FFF2-40B4-BE49-F238E27FC236}">
                  <a16:creationId xmlns:a16="http://schemas.microsoft.com/office/drawing/2014/main" id="{055AEB6A-F597-4368-BA0A-1B99132709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1440" y="914400"/>
              <a:ext cx="124968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cy" refreshedDate="46292.878485416666" createdVersion="8" refreshedVersion="8" minRefreshableVersion="3" recordCount="500" xr:uid="{D597E214-C8FC-4B87-9AFE-0F94D7EAF5E8}">
  <cacheSource type="worksheet">
    <worksheetSource name="Table2"/>
  </cacheSource>
  <cacheFields count="13">
    <cacheField name="Order_ID" numFmtId="0">
      <sharedItems count="5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Date" numFmtId="0">
      <sharedItems/>
    </cacheField>
    <cacheField name="Customer_Name" numFmtId="0">
      <sharedItems count="20">
        <s v="Rohit"/>
        <s v="Kavya"/>
        <s v="Neha"/>
        <s v="Rahul"/>
        <s v="Akash"/>
        <s v="Anjali"/>
        <s v="Divya"/>
        <s v="Arjun"/>
        <s v="Ali"/>
        <s v="Vikas"/>
        <s v="Naveen"/>
        <s v="Priya"/>
        <s v="Pooja"/>
        <s v="Aman"/>
        <s v="Sanjay"/>
        <s v="Kiran"/>
        <s v="Vijay"/>
        <s v="Meena"/>
        <s v="Sneha"/>
        <s v="Ria"/>
      </sharedItems>
    </cacheField>
    <cacheField name="Product" numFmtId="0">
      <sharedItems count="21">
        <s v="Shampoo"/>
        <s v="Chair"/>
        <s v="iPhone 15"/>
        <s v="Shoes"/>
        <s v="Jeans"/>
        <s v="Business Book"/>
        <s v="Bedsheet"/>
        <s v="Python Book"/>
        <s v="Lamp"/>
        <s v="Mixer"/>
        <s v="Perfume"/>
        <s v="Watch"/>
        <s v="AirPods Pro"/>
        <s v="Cookbook"/>
        <s v="Laptop"/>
        <s v="Lipstick"/>
        <s v="MacBook Air"/>
        <s v="Novel"/>
        <s v="T-Shirt"/>
        <s v="Sony Headphones"/>
        <s v="Face Wash"/>
      </sharedItems>
    </cacheField>
    <cacheField name="Category" numFmtId="0">
      <sharedItems count="5">
        <s v="Beauty"/>
        <s v="Home"/>
        <s v="Electronics"/>
        <s v="Fashion"/>
        <s v="Books"/>
      </sharedItems>
    </cacheField>
    <cacheField name="State" numFmtId="0">
      <sharedItems count="6">
        <s v="Karnataka"/>
        <s v="Gujrat"/>
        <s v="Telangana"/>
        <s v="Maharashtra"/>
        <s v="Delhi"/>
        <s v="Tamil Nadu"/>
      </sharedItems>
    </cacheField>
    <cacheField name="Seller" numFmtId="0">
      <sharedItems count="4">
        <s v="BookWorld"/>
        <s v="TechStore"/>
        <s v="BeautyCare"/>
        <s v="HomeMart"/>
      </sharedItems>
    </cacheField>
    <cacheField name="Payment_Method" numFmtId="0">
      <sharedItems count="4">
        <s v="Cash"/>
        <s v="Net Banking"/>
        <s v="Card"/>
        <s v="UPI"/>
      </sharedItems>
    </cacheField>
    <cacheField name="Sales" numFmtId="0">
      <sharedItems containsSemiMixedTypes="0" containsString="0" containsNumber="1" containsInteger="1" minValue="307" maxValue="596816"/>
    </cacheField>
    <cacheField name="Quantity" numFmtId="0">
      <sharedItems containsSemiMixedTypes="0" containsString="0" containsNumber="1" containsInteger="1" minValue="1" maxValue="8"/>
    </cacheField>
    <cacheField name="Rating" numFmtId="0">
      <sharedItems containsSemiMixedTypes="0" containsString="0" containsNumber="1" minValue="3.2" maxValue="5"/>
    </cacheField>
    <cacheField name="Delivery" numFmtId="0">
      <sharedItems containsSemiMixedTypes="0" containsString="0" containsNumber="1" containsInteger="1" minValue="1" maxValue="8"/>
    </cacheField>
    <cacheField name="Month" numFmtId="0">
      <sharedItems count="12">
        <s v="May"/>
        <s v="Oct"/>
        <s v="Apr"/>
        <s v="Aug"/>
        <s v="Jul"/>
        <s v="Sep"/>
        <s v="Mar"/>
        <s v="Feb"/>
        <s v="Dec"/>
        <s v="Jun"/>
        <s v="Jan"/>
        <s v="Nov"/>
      </sharedItems>
    </cacheField>
  </cacheFields>
  <extLst>
    <ext xmlns:x14="http://schemas.microsoft.com/office/spreadsheetml/2009/9/main" uri="{725AE2AE-9491-48be-B2B4-4EB974FC3084}">
      <x14:pivotCacheDefinition pivotCacheId="545806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1/05/2025"/>
    <x v="0"/>
    <x v="0"/>
    <x v="0"/>
    <x v="0"/>
    <x v="0"/>
    <x v="0"/>
    <n v="3028"/>
    <n v="4"/>
    <n v="4.3"/>
    <n v="1"/>
    <x v="0"/>
  </r>
  <r>
    <x v="1"/>
    <s v="15/10/2025"/>
    <x v="1"/>
    <x v="1"/>
    <x v="1"/>
    <x v="1"/>
    <x v="1"/>
    <x v="1"/>
    <n v="32636"/>
    <n v="4"/>
    <n v="4.3"/>
    <n v="1"/>
    <x v="1"/>
  </r>
  <r>
    <x v="2"/>
    <s v="21/04/2025"/>
    <x v="2"/>
    <x v="2"/>
    <x v="2"/>
    <x v="1"/>
    <x v="1"/>
    <x v="2"/>
    <n v="313782"/>
    <n v="6"/>
    <n v="4.7"/>
    <n v="5"/>
    <x v="2"/>
  </r>
  <r>
    <x v="3"/>
    <s v="10/10/2025"/>
    <x v="3"/>
    <x v="3"/>
    <x v="3"/>
    <x v="0"/>
    <x v="0"/>
    <x v="2"/>
    <n v="11375"/>
    <n v="5"/>
    <n v="3.3"/>
    <n v="4"/>
    <x v="1"/>
  </r>
  <r>
    <x v="4"/>
    <s v="21/08/2025"/>
    <x v="4"/>
    <x v="4"/>
    <x v="3"/>
    <x v="1"/>
    <x v="0"/>
    <x v="0"/>
    <n v="14496"/>
    <n v="6"/>
    <n v="3.7"/>
    <n v="2"/>
    <x v="3"/>
  </r>
  <r>
    <x v="5"/>
    <s v="14/07/2025"/>
    <x v="5"/>
    <x v="5"/>
    <x v="4"/>
    <x v="2"/>
    <x v="2"/>
    <x v="0"/>
    <n v="5745"/>
    <n v="5"/>
    <n v="4.7"/>
    <n v="6"/>
    <x v="4"/>
  </r>
  <r>
    <x v="6"/>
    <s v="19/04/2025"/>
    <x v="6"/>
    <x v="6"/>
    <x v="1"/>
    <x v="3"/>
    <x v="1"/>
    <x v="1"/>
    <n v="24696"/>
    <n v="8"/>
    <n v="3.6"/>
    <n v="5"/>
    <x v="2"/>
  </r>
  <r>
    <x v="7"/>
    <s v="18/09/2025"/>
    <x v="4"/>
    <x v="7"/>
    <x v="4"/>
    <x v="0"/>
    <x v="1"/>
    <x v="3"/>
    <n v="3536"/>
    <n v="8"/>
    <n v="3.5"/>
    <n v="7"/>
    <x v="5"/>
  </r>
  <r>
    <x v="8"/>
    <s v="28/09/2025"/>
    <x v="7"/>
    <x v="8"/>
    <x v="1"/>
    <x v="2"/>
    <x v="1"/>
    <x v="0"/>
    <n v="25855"/>
    <n v="5"/>
    <n v="4.5999999999999996"/>
    <n v="6"/>
    <x v="5"/>
  </r>
  <r>
    <x v="9"/>
    <s v="15/05/2025"/>
    <x v="8"/>
    <x v="3"/>
    <x v="3"/>
    <x v="2"/>
    <x v="0"/>
    <x v="2"/>
    <n v="9432"/>
    <n v="3"/>
    <n v="4.0999999999999996"/>
    <n v="4"/>
    <x v="0"/>
  </r>
  <r>
    <x v="10"/>
    <s v="08/09/2025"/>
    <x v="9"/>
    <x v="6"/>
    <x v="1"/>
    <x v="1"/>
    <x v="1"/>
    <x v="2"/>
    <n v="1749"/>
    <n v="1"/>
    <n v="3.6"/>
    <n v="2"/>
    <x v="5"/>
  </r>
  <r>
    <x v="11"/>
    <s v="07/03/2025"/>
    <x v="10"/>
    <x v="9"/>
    <x v="1"/>
    <x v="1"/>
    <x v="0"/>
    <x v="1"/>
    <n v="85904"/>
    <n v="8"/>
    <n v="4"/>
    <n v="4"/>
    <x v="6"/>
  </r>
  <r>
    <x v="12"/>
    <s v="13/08/2025"/>
    <x v="6"/>
    <x v="4"/>
    <x v="3"/>
    <x v="4"/>
    <x v="2"/>
    <x v="2"/>
    <n v="9792"/>
    <n v="8"/>
    <n v="3.2"/>
    <n v="4"/>
    <x v="3"/>
  </r>
  <r>
    <x v="13"/>
    <s v="04/02/2025"/>
    <x v="10"/>
    <x v="10"/>
    <x v="0"/>
    <x v="4"/>
    <x v="1"/>
    <x v="0"/>
    <n v="976"/>
    <n v="1"/>
    <n v="4.4000000000000004"/>
    <n v="4"/>
    <x v="7"/>
  </r>
  <r>
    <x v="14"/>
    <s v="08/04/2025"/>
    <x v="7"/>
    <x v="11"/>
    <x v="3"/>
    <x v="0"/>
    <x v="1"/>
    <x v="1"/>
    <n v="8338"/>
    <n v="2"/>
    <n v="4"/>
    <n v="1"/>
    <x v="2"/>
  </r>
  <r>
    <x v="15"/>
    <s v="09/04/2025"/>
    <x v="9"/>
    <x v="10"/>
    <x v="0"/>
    <x v="3"/>
    <x v="2"/>
    <x v="2"/>
    <n v="5592"/>
    <n v="4"/>
    <n v="3.7"/>
    <n v="4"/>
    <x v="2"/>
  </r>
  <r>
    <x v="16"/>
    <s v="17/02/2025"/>
    <x v="1"/>
    <x v="1"/>
    <x v="1"/>
    <x v="3"/>
    <x v="2"/>
    <x v="3"/>
    <n v="17208"/>
    <n v="4"/>
    <n v="4.8"/>
    <n v="1"/>
    <x v="7"/>
  </r>
  <r>
    <x v="17"/>
    <s v="27/05/2025"/>
    <x v="6"/>
    <x v="12"/>
    <x v="2"/>
    <x v="1"/>
    <x v="2"/>
    <x v="1"/>
    <n v="159523"/>
    <n v="7"/>
    <n v="3.6"/>
    <n v="1"/>
    <x v="0"/>
  </r>
  <r>
    <x v="18"/>
    <s v="27/10/2025"/>
    <x v="9"/>
    <x v="0"/>
    <x v="0"/>
    <x v="5"/>
    <x v="2"/>
    <x v="0"/>
    <n v="10632"/>
    <n v="8"/>
    <n v="3.3"/>
    <n v="3"/>
    <x v="1"/>
  </r>
  <r>
    <x v="19"/>
    <s v="19/10/2025"/>
    <x v="11"/>
    <x v="3"/>
    <x v="3"/>
    <x v="5"/>
    <x v="3"/>
    <x v="0"/>
    <n v="5484"/>
    <n v="4"/>
    <n v="4.4000000000000004"/>
    <n v="6"/>
    <x v="1"/>
  </r>
  <r>
    <x v="20"/>
    <s v="09/03/2025"/>
    <x v="9"/>
    <x v="12"/>
    <x v="2"/>
    <x v="5"/>
    <x v="0"/>
    <x v="1"/>
    <n v="60040"/>
    <n v="5"/>
    <n v="4.3"/>
    <n v="2"/>
    <x v="6"/>
  </r>
  <r>
    <x v="21"/>
    <s v="05/02/2025"/>
    <x v="10"/>
    <x v="13"/>
    <x v="4"/>
    <x v="2"/>
    <x v="2"/>
    <x v="0"/>
    <n v="5668"/>
    <n v="4"/>
    <n v="4.5"/>
    <n v="1"/>
    <x v="7"/>
  </r>
  <r>
    <x v="22"/>
    <s v="24/02/2025"/>
    <x v="12"/>
    <x v="14"/>
    <x v="2"/>
    <x v="3"/>
    <x v="3"/>
    <x v="2"/>
    <n v="245328"/>
    <n v="3"/>
    <n v="3.6"/>
    <n v="5"/>
    <x v="7"/>
  </r>
  <r>
    <x v="23"/>
    <s v="22/05/2025"/>
    <x v="10"/>
    <x v="15"/>
    <x v="0"/>
    <x v="1"/>
    <x v="1"/>
    <x v="2"/>
    <n v="307"/>
    <n v="1"/>
    <n v="3.5"/>
    <n v="8"/>
    <x v="0"/>
  </r>
  <r>
    <x v="24"/>
    <s v="20/12/2025"/>
    <x v="2"/>
    <x v="0"/>
    <x v="0"/>
    <x v="2"/>
    <x v="3"/>
    <x v="2"/>
    <n v="4251"/>
    <n v="3"/>
    <n v="3.5"/>
    <n v="3"/>
    <x v="8"/>
  </r>
  <r>
    <x v="25"/>
    <s v="16/12/2025"/>
    <x v="13"/>
    <x v="2"/>
    <x v="2"/>
    <x v="4"/>
    <x v="0"/>
    <x v="3"/>
    <n v="195428"/>
    <n v="4"/>
    <n v="5"/>
    <n v="3"/>
    <x v="8"/>
  </r>
  <r>
    <x v="26"/>
    <s v="20/06/2025"/>
    <x v="14"/>
    <x v="10"/>
    <x v="0"/>
    <x v="4"/>
    <x v="0"/>
    <x v="3"/>
    <n v="11697"/>
    <n v="7"/>
    <n v="3.9"/>
    <n v="1"/>
    <x v="9"/>
  </r>
  <r>
    <x v="27"/>
    <s v="27/04/2025"/>
    <x v="15"/>
    <x v="16"/>
    <x v="2"/>
    <x v="1"/>
    <x v="1"/>
    <x v="1"/>
    <n v="218908"/>
    <n v="4"/>
    <n v="4.8"/>
    <n v="5"/>
    <x v="2"/>
  </r>
  <r>
    <x v="28"/>
    <s v="14/05/2025"/>
    <x v="16"/>
    <x v="0"/>
    <x v="0"/>
    <x v="5"/>
    <x v="2"/>
    <x v="3"/>
    <n v="4467"/>
    <n v="3"/>
    <n v="4"/>
    <n v="6"/>
    <x v="0"/>
  </r>
  <r>
    <x v="29"/>
    <s v="11/05/2025"/>
    <x v="15"/>
    <x v="9"/>
    <x v="1"/>
    <x v="3"/>
    <x v="2"/>
    <x v="1"/>
    <n v="9621"/>
    <n v="1"/>
    <n v="4.4000000000000004"/>
    <n v="4"/>
    <x v="0"/>
  </r>
  <r>
    <x v="30"/>
    <s v="06/12/2025"/>
    <x v="3"/>
    <x v="6"/>
    <x v="1"/>
    <x v="5"/>
    <x v="0"/>
    <x v="0"/>
    <n v="23452"/>
    <n v="2"/>
    <n v="3.9"/>
    <n v="7"/>
    <x v="8"/>
  </r>
  <r>
    <x v="31"/>
    <s v="13/12/2025"/>
    <x v="16"/>
    <x v="11"/>
    <x v="3"/>
    <x v="5"/>
    <x v="3"/>
    <x v="3"/>
    <n v="15564"/>
    <n v="3"/>
    <n v="3.7"/>
    <n v="4"/>
    <x v="8"/>
  </r>
  <r>
    <x v="32"/>
    <s v="12/12/2025"/>
    <x v="9"/>
    <x v="11"/>
    <x v="3"/>
    <x v="4"/>
    <x v="3"/>
    <x v="0"/>
    <n v="5576"/>
    <n v="4"/>
    <n v="4.0999999999999996"/>
    <n v="6"/>
    <x v="8"/>
  </r>
  <r>
    <x v="33"/>
    <s v="13/01/2025"/>
    <x v="5"/>
    <x v="7"/>
    <x v="4"/>
    <x v="3"/>
    <x v="1"/>
    <x v="0"/>
    <n v="2196"/>
    <n v="1"/>
    <n v="3.9"/>
    <n v="4"/>
    <x v="10"/>
  </r>
  <r>
    <x v="34"/>
    <s v="24/02/2025"/>
    <x v="17"/>
    <x v="17"/>
    <x v="4"/>
    <x v="4"/>
    <x v="1"/>
    <x v="1"/>
    <n v="6790"/>
    <n v="7"/>
    <n v="4.2"/>
    <n v="2"/>
    <x v="7"/>
  </r>
  <r>
    <x v="35"/>
    <s v="08/10/2025"/>
    <x v="12"/>
    <x v="11"/>
    <x v="3"/>
    <x v="3"/>
    <x v="0"/>
    <x v="1"/>
    <n v="22584"/>
    <n v="8"/>
    <n v="4.7"/>
    <n v="5"/>
    <x v="1"/>
  </r>
  <r>
    <x v="36"/>
    <s v="27/05/2025"/>
    <x v="5"/>
    <x v="3"/>
    <x v="3"/>
    <x v="1"/>
    <x v="0"/>
    <x v="0"/>
    <n v="20496"/>
    <n v="4"/>
    <n v="3.4"/>
    <n v="4"/>
    <x v="0"/>
  </r>
  <r>
    <x v="37"/>
    <s v="28/07/2025"/>
    <x v="6"/>
    <x v="15"/>
    <x v="0"/>
    <x v="1"/>
    <x v="2"/>
    <x v="3"/>
    <n v="8466"/>
    <n v="6"/>
    <n v="4.7"/>
    <n v="7"/>
    <x v="4"/>
  </r>
  <r>
    <x v="38"/>
    <s v="30/06/2025"/>
    <x v="13"/>
    <x v="3"/>
    <x v="3"/>
    <x v="2"/>
    <x v="1"/>
    <x v="3"/>
    <n v="25865"/>
    <n v="5"/>
    <n v="4.8"/>
    <n v="8"/>
    <x v="9"/>
  </r>
  <r>
    <x v="39"/>
    <s v="22/06/2025"/>
    <x v="6"/>
    <x v="15"/>
    <x v="0"/>
    <x v="5"/>
    <x v="2"/>
    <x v="2"/>
    <n v="12481"/>
    <n v="7"/>
    <n v="4.2"/>
    <n v="7"/>
    <x v="9"/>
  </r>
  <r>
    <x v="40"/>
    <s v="25/08/2025"/>
    <x v="5"/>
    <x v="18"/>
    <x v="3"/>
    <x v="2"/>
    <x v="1"/>
    <x v="1"/>
    <n v="10143"/>
    <n v="3"/>
    <n v="4"/>
    <n v="6"/>
    <x v="3"/>
  </r>
  <r>
    <x v="41"/>
    <s v="10/01/2025"/>
    <x v="0"/>
    <x v="15"/>
    <x v="0"/>
    <x v="5"/>
    <x v="0"/>
    <x v="0"/>
    <n v="1016"/>
    <n v="1"/>
    <n v="4.9000000000000004"/>
    <n v="4"/>
    <x v="10"/>
  </r>
  <r>
    <x v="42"/>
    <s v="09/12/2025"/>
    <x v="1"/>
    <x v="5"/>
    <x v="4"/>
    <x v="2"/>
    <x v="2"/>
    <x v="2"/>
    <n v="2284"/>
    <n v="2"/>
    <n v="3.5"/>
    <n v="2"/>
    <x v="8"/>
  </r>
  <r>
    <x v="43"/>
    <s v="13/12/2025"/>
    <x v="4"/>
    <x v="19"/>
    <x v="2"/>
    <x v="0"/>
    <x v="2"/>
    <x v="1"/>
    <n v="87227"/>
    <n v="7"/>
    <n v="3.6"/>
    <n v="5"/>
    <x v="8"/>
  </r>
  <r>
    <x v="44"/>
    <s v="05/12/2025"/>
    <x v="16"/>
    <x v="8"/>
    <x v="1"/>
    <x v="2"/>
    <x v="1"/>
    <x v="0"/>
    <n v="46092"/>
    <n v="6"/>
    <n v="4.7"/>
    <n v="2"/>
    <x v="8"/>
  </r>
  <r>
    <x v="45"/>
    <s v="25/09/2025"/>
    <x v="18"/>
    <x v="18"/>
    <x v="3"/>
    <x v="4"/>
    <x v="2"/>
    <x v="1"/>
    <n v="22540"/>
    <n v="5"/>
    <n v="4.7"/>
    <n v="5"/>
    <x v="5"/>
  </r>
  <r>
    <x v="46"/>
    <s v="26/08/2025"/>
    <x v="11"/>
    <x v="18"/>
    <x v="3"/>
    <x v="2"/>
    <x v="3"/>
    <x v="1"/>
    <n v="23534"/>
    <n v="7"/>
    <n v="4.0999999999999996"/>
    <n v="6"/>
    <x v="3"/>
  </r>
  <r>
    <x v="47"/>
    <s v="22/09/2025"/>
    <x v="14"/>
    <x v="1"/>
    <x v="1"/>
    <x v="3"/>
    <x v="2"/>
    <x v="2"/>
    <n v="39584"/>
    <n v="4"/>
    <n v="4.5999999999999996"/>
    <n v="8"/>
    <x v="5"/>
  </r>
  <r>
    <x v="48"/>
    <s v="27/07/2025"/>
    <x v="15"/>
    <x v="2"/>
    <x v="2"/>
    <x v="1"/>
    <x v="1"/>
    <x v="1"/>
    <n v="258124"/>
    <n v="4"/>
    <n v="3.8"/>
    <n v="6"/>
    <x v="4"/>
  </r>
  <r>
    <x v="49"/>
    <s v="29/04/2025"/>
    <x v="19"/>
    <x v="16"/>
    <x v="2"/>
    <x v="4"/>
    <x v="1"/>
    <x v="1"/>
    <n v="87718"/>
    <n v="2"/>
    <n v="4.9000000000000004"/>
    <n v="3"/>
    <x v="2"/>
  </r>
  <r>
    <x v="50"/>
    <s v="21/02/2025"/>
    <x v="11"/>
    <x v="6"/>
    <x v="1"/>
    <x v="0"/>
    <x v="2"/>
    <x v="1"/>
    <n v="23008"/>
    <n v="4"/>
    <n v="3.2"/>
    <n v="3"/>
    <x v="7"/>
  </r>
  <r>
    <x v="51"/>
    <s v="22/02/2025"/>
    <x v="11"/>
    <x v="5"/>
    <x v="4"/>
    <x v="3"/>
    <x v="2"/>
    <x v="2"/>
    <n v="1414"/>
    <n v="1"/>
    <n v="3.8"/>
    <n v="1"/>
    <x v="7"/>
  </r>
  <r>
    <x v="52"/>
    <s v="07/02/2025"/>
    <x v="10"/>
    <x v="11"/>
    <x v="3"/>
    <x v="3"/>
    <x v="0"/>
    <x v="3"/>
    <n v="3189"/>
    <n v="1"/>
    <n v="5"/>
    <n v="2"/>
    <x v="7"/>
  </r>
  <r>
    <x v="53"/>
    <s v="02/06/2025"/>
    <x v="9"/>
    <x v="11"/>
    <x v="3"/>
    <x v="4"/>
    <x v="0"/>
    <x v="0"/>
    <n v="10584"/>
    <n v="7"/>
    <n v="4.3"/>
    <n v="5"/>
    <x v="9"/>
  </r>
  <r>
    <x v="54"/>
    <s v="22/03/2025"/>
    <x v="3"/>
    <x v="1"/>
    <x v="1"/>
    <x v="1"/>
    <x v="1"/>
    <x v="2"/>
    <n v="5571"/>
    <n v="1"/>
    <n v="3.3"/>
    <n v="5"/>
    <x v="6"/>
  </r>
  <r>
    <x v="55"/>
    <s v="17/11/2025"/>
    <x v="8"/>
    <x v="13"/>
    <x v="4"/>
    <x v="0"/>
    <x v="2"/>
    <x v="0"/>
    <n v="2880"/>
    <n v="4"/>
    <n v="3.5"/>
    <n v="5"/>
    <x v="11"/>
  </r>
  <r>
    <x v="56"/>
    <s v="19/10/2025"/>
    <x v="17"/>
    <x v="19"/>
    <x v="2"/>
    <x v="0"/>
    <x v="2"/>
    <x v="3"/>
    <n v="319665"/>
    <n v="5"/>
    <n v="4.9000000000000004"/>
    <n v="8"/>
    <x v="1"/>
  </r>
  <r>
    <x v="57"/>
    <s v="09/05/2025"/>
    <x v="6"/>
    <x v="19"/>
    <x v="2"/>
    <x v="0"/>
    <x v="0"/>
    <x v="3"/>
    <n v="77892"/>
    <n v="1"/>
    <n v="5"/>
    <n v="5"/>
    <x v="0"/>
  </r>
  <r>
    <x v="58"/>
    <s v="23/05/2025"/>
    <x v="18"/>
    <x v="8"/>
    <x v="1"/>
    <x v="1"/>
    <x v="2"/>
    <x v="0"/>
    <n v="25500"/>
    <n v="3"/>
    <n v="3.8"/>
    <n v="6"/>
    <x v="0"/>
  </r>
  <r>
    <x v="59"/>
    <s v="22/12/2025"/>
    <x v="18"/>
    <x v="12"/>
    <x v="2"/>
    <x v="0"/>
    <x v="1"/>
    <x v="2"/>
    <n v="596816"/>
    <n v="8"/>
    <n v="3.4"/>
    <n v="5"/>
    <x v="8"/>
  </r>
  <r>
    <x v="60"/>
    <s v="31/07/2025"/>
    <x v="19"/>
    <x v="8"/>
    <x v="1"/>
    <x v="2"/>
    <x v="0"/>
    <x v="1"/>
    <n v="8967"/>
    <n v="1"/>
    <n v="4.3"/>
    <n v="1"/>
    <x v="4"/>
  </r>
  <r>
    <x v="61"/>
    <s v="04/03/2025"/>
    <x v="9"/>
    <x v="11"/>
    <x v="3"/>
    <x v="4"/>
    <x v="2"/>
    <x v="3"/>
    <n v="3245"/>
    <n v="1"/>
    <n v="3.2"/>
    <n v="7"/>
    <x v="6"/>
  </r>
  <r>
    <x v="62"/>
    <s v="13/09/2025"/>
    <x v="5"/>
    <x v="10"/>
    <x v="0"/>
    <x v="4"/>
    <x v="0"/>
    <x v="2"/>
    <n v="6710"/>
    <n v="5"/>
    <n v="3.6"/>
    <n v="3"/>
    <x v="5"/>
  </r>
  <r>
    <x v="63"/>
    <s v="24/06/2025"/>
    <x v="8"/>
    <x v="12"/>
    <x v="2"/>
    <x v="3"/>
    <x v="1"/>
    <x v="1"/>
    <n v="208160"/>
    <n v="5"/>
    <n v="5"/>
    <n v="8"/>
    <x v="9"/>
  </r>
  <r>
    <x v="64"/>
    <s v="06/10/2025"/>
    <x v="2"/>
    <x v="19"/>
    <x v="2"/>
    <x v="2"/>
    <x v="1"/>
    <x v="3"/>
    <n v="190589"/>
    <n v="7"/>
    <n v="3.9"/>
    <n v="7"/>
    <x v="1"/>
  </r>
  <r>
    <x v="65"/>
    <s v="11/09/2025"/>
    <x v="7"/>
    <x v="18"/>
    <x v="3"/>
    <x v="5"/>
    <x v="1"/>
    <x v="2"/>
    <n v="3419"/>
    <n v="1"/>
    <n v="4.8"/>
    <n v="8"/>
    <x v="5"/>
  </r>
  <r>
    <x v="66"/>
    <s v="02/12/2025"/>
    <x v="18"/>
    <x v="5"/>
    <x v="4"/>
    <x v="1"/>
    <x v="1"/>
    <x v="1"/>
    <n v="6519"/>
    <n v="3"/>
    <n v="4.4000000000000004"/>
    <n v="2"/>
    <x v="8"/>
  </r>
  <r>
    <x v="67"/>
    <s v="13/11/2025"/>
    <x v="17"/>
    <x v="3"/>
    <x v="3"/>
    <x v="4"/>
    <x v="3"/>
    <x v="2"/>
    <n v="2880"/>
    <n v="2"/>
    <n v="5"/>
    <n v="2"/>
    <x v="11"/>
  </r>
  <r>
    <x v="68"/>
    <s v="29/01/2025"/>
    <x v="1"/>
    <x v="20"/>
    <x v="0"/>
    <x v="4"/>
    <x v="2"/>
    <x v="3"/>
    <n v="5170"/>
    <n v="5"/>
    <n v="4.2"/>
    <n v="3"/>
    <x v="10"/>
  </r>
  <r>
    <x v="69"/>
    <s v="12/09/2025"/>
    <x v="3"/>
    <x v="9"/>
    <x v="1"/>
    <x v="1"/>
    <x v="0"/>
    <x v="2"/>
    <n v="14949"/>
    <n v="3"/>
    <n v="4.4000000000000004"/>
    <n v="8"/>
    <x v="5"/>
  </r>
  <r>
    <x v="70"/>
    <s v="28/10/2025"/>
    <x v="14"/>
    <x v="4"/>
    <x v="3"/>
    <x v="0"/>
    <x v="0"/>
    <x v="3"/>
    <n v="22210"/>
    <n v="5"/>
    <n v="3.6"/>
    <n v="7"/>
    <x v="1"/>
  </r>
  <r>
    <x v="71"/>
    <s v="22/10/2025"/>
    <x v="4"/>
    <x v="6"/>
    <x v="1"/>
    <x v="1"/>
    <x v="1"/>
    <x v="1"/>
    <n v="26485"/>
    <n v="5"/>
    <n v="3.2"/>
    <n v="1"/>
    <x v="1"/>
  </r>
  <r>
    <x v="72"/>
    <s v="23/04/2025"/>
    <x v="3"/>
    <x v="13"/>
    <x v="4"/>
    <x v="3"/>
    <x v="2"/>
    <x v="1"/>
    <n v="5104"/>
    <n v="4"/>
    <n v="4.8"/>
    <n v="1"/>
    <x v="2"/>
  </r>
  <r>
    <x v="73"/>
    <s v="01/06/2025"/>
    <x v="12"/>
    <x v="17"/>
    <x v="4"/>
    <x v="5"/>
    <x v="3"/>
    <x v="0"/>
    <n v="5814"/>
    <n v="6"/>
    <n v="4.8"/>
    <n v="6"/>
    <x v="9"/>
  </r>
  <r>
    <x v="74"/>
    <s v="01/06/2025"/>
    <x v="10"/>
    <x v="12"/>
    <x v="2"/>
    <x v="2"/>
    <x v="2"/>
    <x v="3"/>
    <n v="74214"/>
    <n v="6"/>
    <n v="4.7"/>
    <n v="7"/>
    <x v="9"/>
  </r>
  <r>
    <x v="75"/>
    <s v="02/10/2025"/>
    <x v="7"/>
    <x v="20"/>
    <x v="0"/>
    <x v="1"/>
    <x v="0"/>
    <x v="3"/>
    <n v="2462"/>
    <n v="2"/>
    <n v="4.7"/>
    <n v="6"/>
    <x v="1"/>
  </r>
  <r>
    <x v="76"/>
    <s v="09/11/2025"/>
    <x v="2"/>
    <x v="20"/>
    <x v="0"/>
    <x v="0"/>
    <x v="3"/>
    <x v="3"/>
    <n v="6504"/>
    <n v="4"/>
    <n v="3.9"/>
    <n v="3"/>
    <x v="11"/>
  </r>
  <r>
    <x v="77"/>
    <s v="01/05/2025"/>
    <x v="16"/>
    <x v="0"/>
    <x v="0"/>
    <x v="1"/>
    <x v="2"/>
    <x v="3"/>
    <n v="3285"/>
    <n v="3"/>
    <n v="4.3"/>
    <n v="3"/>
    <x v="0"/>
  </r>
  <r>
    <x v="78"/>
    <s v="24/05/2025"/>
    <x v="7"/>
    <x v="8"/>
    <x v="1"/>
    <x v="1"/>
    <x v="3"/>
    <x v="1"/>
    <n v="8085"/>
    <n v="1"/>
    <n v="4.9000000000000004"/>
    <n v="6"/>
    <x v="0"/>
  </r>
  <r>
    <x v="79"/>
    <s v="22/05/2025"/>
    <x v="2"/>
    <x v="15"/>
    <x v="0"/>
    <x v="2"/>
    <x v="0"/>
    <x v="0"/>
    <n v="2200"/>
    <n v="4"/>
    <n v="4.4000000000000004"/>
    <n v="1"/>
    <x v="0"/>
  </r>
  <r>
    <x v="80"/>
    <s v="05/02/2025"/>
    <x v="11"/>
    <x v="9"/>
    <x v="1"/>
    <x v="4"/>
    <x v="0"/>
    <x v="1"/>
    <n v="12868"/>
    <n v="4"/>
    <n v="4.5999999999999996"/>
    <n v="1"/>
    <x v="7"/>
  </r>
  <r>
    <x v="81"/>
    <s v="05/12/2025"/>
    <x v="11"/>
    <x v="17"/>
    <x v="4"/>
    <x v="0"/>
    <x v="0"/>
    <x v="3"/>
    <n v="310"/>
    <n v="1"/>
    <n v="3.8"/>
    <n v="3"/>
    <x v="8"/>
  </r>
  <r>
    <x v="82"/>
    <s v="02/02/2025"/>
    <x v="4"/>
    <x v="1"/>
    <x v="1"/>
    <x v="0"/>
    <x v="3"/>
    <x v="3"/>
    <n v="20688"/>
    <n v="8"/>
    <n v="4"/>
    <n v="4"/>
    <x v="7"/>
  </r>
  <r>
    <x v="83"/>
    <s v="03/09/2025"/>
    <x v="4"/>
    <x v="0"/>
    <x v="0"/>
    <x v="4"/>
    <x v="2"/>
    <x v="0"/>
    <n v="8211"/>
    <n v="7"/>
    <n v="4.8"/>
    <n v="6"/>
    <x v="5"/>
  </r>
  <r>
    <x v="84"/>
    <s v="21/11/2025"/>
    <x v="7"/>
    <x v="19"/>
    <x v="2"/>
    <x v="1"/>
    <x v="0"/>
    <x v="3"/>
    <n v="246912"/>
    <n v="6"/>
    <n v="4.3"/>
    <n v="2"/>
    <x v="11"/>
  </r>
  <r>
    <x v="85"/>
    <s v="31/07/2025"/>
    <x v="15"/>
    <x v="18"/>
    <x v="3"/>
    <x v="4"/>
    <x v="1"/>
    <x v="2"/>
    <n v="8868"/>
    <n v="6"/>
    <n v="4"/>
    <n v="5"/>
    <x v="4"/>
  </r>
  <r>
    <x v="86"/>
    <s v="17/02/2025"/>
    <x v="7"/>
    <x v="0"/>
    <x v="0"/>
    <x v="3"/>
    <x v="3"/>
    <x v="3"/>
    <n v="3479"/>
    <n v="7"/>
    <n v="4.3"/>
    <n v="6"/>
    <x v="7"/>
  </r>
  <r>
    <x v="87"/>
    <s v="04/11/2025"/>
    <x v="13"/>
    <x v="20"/>
    <x v="0"/>
    <x v="0"/>
    <x v="3"/>
    <x v="1"/>
    <n v="5100"/>
    <n v="5"/>
    <n v="3.5"/>
    <n v="8"/>
    <x v="11"/>
  </r>
  <r>
    <x v="88"/>
    <s v="21/10/2025"/>
    <x v="18"/>
    <x v="20"/>
    <x v="0"/>
    <x v="2"/>
    <x v="2"/>
    <x v="0"/>
    <n v="4712"/>
    <n v="4"/>
    <n v="3.5"/>
    <n v="5"/>
    <x v="1"/>
  </r>
  <r>
    <x v="89"/>
    <s v="05/02/2025"/>
    <x v="18"/>
    <x v="5"/>
    <x v="4"/>
    <x v="4"/>
    <x v="3"/>
    <x v="1"/>
    <n v="1125"/>
    <n v="3"/>
    <n v="3.9"/>
    <n v="8"/>
    <x v="7"/>
  </r>
  <r>
    <x v="90"/>
    <s v="02/11/2025"/>
    <x v="17"/>
    <x v="19"/>
    <x v="2"/>
    <x v="1"/>
    <x v="1"/>
    <x v="3"/>
    <n v="46264"/>
    <n v="2"/>
    <n v="4.4000000000000004"/>
    <n v="5"/>
    <x v="11"/>
  </r>
  <r>
    <x v="91"/>
    <s v="01/08/2025"/>
    <x v="12"/>
    <x v="8"/>
    <x v="1"/>
    <x v="1"/>
    <x v="3"/>
    <x v="2"/>
    <n v="39215"/>
    <n v="5"/>
    <n v="3.4"/>
    <n v="8"/>
    <x v="3"/>
  </r>
  <r>
    <x v="92"/>
    <s v="03/11/2025"/>
    <x v="18"/>
    <x v="5"/>
    <x v="4"/>
    <x v="0"/>
    <x v="2"/>
    <x v="3"/>
    <n v="1087"/>
    <n v="1"/>
    <n v="4.5999999999999996"/>
    <n v="5"/>
    <x v="11"/>
  </r>
  <r>
    <x v="93"/>
    <s v="08/03/2025"/>
    <x v="5"/>
    <x v="18"/>
    <x v="3"/>
    <x v="1"/>
    <x v="2"/>
    <x v="3"/>
    <n v="36939"/>
    <n v="7"/>
    <n v="4.7"/>
    <n v="2"/>
    <x v="6"/>
  </r>
  <r>
    <x v="94"/>
    <s v="09/02/2025"/>
    <x v="5"/>
    <x v="15"/>
    <x v="0"/>
    <x v="0"/>
    <x v="3"/>
    <x v="0"/>
    <n v="8874"/>
    <n v="6"/>
    <n v="4"/>
    <n v="2"/>
    <x v="7"/>
  </r>
  <r>
    <x v="95"/>
    <s v="20/12/2025"/>
    <x v="5"/>
    <x v="8"/>
    <x v="1"/>
    <x v="2"/>
    <x v="3"/>
    <x v="0"/>
    <n v="47628"/>
    <n v="6"/>
    <n v="4.3"/>
    <n v="2"/>
    <x v="8"/>
  </r>
  <r>
    <x v="96"/>
    <s v="09/02/2025"/>
    <x v="13"/>
    <x v="2"/>
    <x v="2"/>
    <x v="0"/>
    <x v="0"/>
    <x v="1"/>
    <n v="55830"/>
    <n v="2"/>
    <n v="4.5"/>
    <n v="3"/>
    <x v="7"/>
  </r>
  <r>
    <x v="97"/>
    <s v="05/11/2025"/>
    <x v="6"/>
    <x v="7"/>
    <x v="4"/>
    <x v="1"/>
    <x v="3"/>
    <x v="1"/>
    <n v="1674"/>
    <n v="3"/>
    <n v="4"/>
    <n v="8"/>
    <x v="11"/>
  </r>
  <r>
    <x v="98"/>
    <s v="04/02/2025"/>
    <x v="3"/>
    <x v="5"/>
    <x v="4"/>
    <x v="3"/>
    <x v="1"/>
    <x v="2"/>
    <n v="11920"/>
    <n v="8"/>
    <n v="3.8"/>
    <n v="2"/>
    <x v="7"/>
  </r>
  <r>
    <x v="99"/>
    <s v="27/05/2025"/>
    <x v="17"/>
    <x v="20"/>
    <x v="0"/>
    <x v="5"/>
    <x v="0"/>
    <x v="1"/>
    <n v="3240"/>
    <n v="2"/>
    <n v="3.9"/>
    <n v="1"/>
    <x v="0"/>
  </r>
  <r>
    <x v="100"/>
    <s v="14/09/2025"/>
    <x v="2"/>
    <x v="8"/>
    <x v="1"/>
    <x v="4"/>
    <x v="1"/>
    <x v="3"/>
    <n v="6543"/>
    <n v="3"/>
    <n v="4.0999999999999996"/>
    <n v="3"/>
    <x v="5"/>
  </r>
  <r>
    <x v="101"/>
    <s v="06/07/2025"/>
    <x v="9"/>
    <x v="9"/>
    <x v="1"/>
    <x v="2"/>
    <x v="2"/>
    <x v="3"/>
    <n v="71538"/>
    <n v="6"/>
    <n v="4.3"/>
    <n v="6"/>
    <x v="4"/>
  </r>
  <r>
    <x v="102"/>
    <s v="03/12/2025"/>
    <x v="8"/>
    <x v="16"/>
    <x v="2"/>
    <x v="5"/>
    <x v="2"/>
    <x v="1"/>
    <n v="236640"/>
    <n v="3"/>
    <n v="3.8"/>
    <n v="7"/>
    <x v="8"/>
  </r>
  <r>
    <x v="103"/>
    <s v="26/11/2025"/>
    <x v="0"/>
    <x v="8"/>
    <x v="1"/>
    <x v="2"/>
    <x v="3"/>
    <x v="0"/>
    <n v="70704"/>
    <n v="6"/>
    <n v="4"/>
    <n v="6"/>
    <x v="11"/>
  </r>
  <r>
    <x v="104"/>
    <s v="06/09/2025"/>
    <x v="12"/>
    <x v="13"/>
    <x v="4"/>
    <x v="5"/>
    <x v="2"/>
    <x v="1"/>
    <n v="3252"/>
    <n v="4"/>
    <n v="4.7"/>
    <n v="2"/>
    <x v="5"/>
  </r>
  <r>
    <x v="105"/>
    <s v="02/11/2025"/>
    <x v="16"/>
    <x v="9"/>
    <x v="1"/>
    <x v="2"/>
    <x v="0"/>
    <x v="3"/>
    <n v="24584"/>
    <n v="7"/>
    <n v="4.5"/>
    <n v="1"/>
    <x v="11"/>
  </r>
  <r>
    <x v="106"/>
    <s v="18/08/2025"/>
    <x v="17"/>
    <x v="6"/>
    <x v="1"/>
    <x v="2"/>
    <x v="1"/>
    <x v="3"/>
    <n v="15912"/>
    <n v="4"/>
    <n v="3.9"/>
    <n v="8"/>
    <x v="3"/>
  </r>
  <r>
    <x v="107"/>
    <s v="06/11/2025"/>
    <x v="3"/>
    <x v="7"/>
    <x v="4"/>
    <x v="0"/>
    <x v="0"/>
    <x v="1"/>
    <n v="1389"/>
    <n v="3"/>
    <n v="4.9000000000000004"/>
    <n v="2"/>
    <x v="11"/>
  </r>
  <r>
    <x v="108"/>
    <s v="12/08/2025"/>
    <x v="13"/>
    <x v="18"/>
    <x v="3"/>
    <x v="3"/>
    <x v="2"/>
    <x v="1"/>
    <n v="1836"/>
    <n v="2"/>
    <n v="3.3"/>
    <n v="6"/>
    <x v="3"/>
  </r>
  <r>
    <x v="109"/>
    <s v="13/06/2025"/>
    <x v="8"/>
    <x v="17"/>
    <x v="4"/>
    <x v="1"/>
    <x v="1"/>
    <x v="3"/>
    <n v="3246"/>
    <n v="2"/>
    <n v="3.7"/>
    <n v="8"/>
    <x v="9"/>
  </r>
  <r>
    <x v="110"/>
    <s v="10/02/2025"/>
    <x v="3"/>
    <x v="1"/>
    <x v="1"/>
    <x v="4"/>
    <x v="3"/>
    <x v="2"/>
    <n v="10775"/>
    <n v="1"/>
    <n v="4.0999999999999996"/>
    <n v="2"/>
    <x v="7"/>
  </r>
  <r>
    <x v="111"/>
    <s v="03/08/2025"/>
    <x v="8"/>
    <x v="10"/>
    <x v="0"/>
    <x v="2"/>
    <x v="1"/>
    <x v="2"/>
    <n v="3424"/>
    <n v="8"/>
    <n v="3.2"/>
    <n v="4"/>
    <x v="3"/>
  </r>
  <r>
    <x v="112"/>
    <s v="04/05/2025"/>
    <x v="5"/>
    <x v="6"/>
    <x v="1"/>
    <x v="3"/>
    <x v="2"/>
    <x v="3"/>
    <n v="13356"/>
    <n v="7"/>
    <n v="4.9000000000000004"/>
    <n v="1"/>
    <x v="0"/>
  </r>
  <r>
    <x v="113"/>
    <s v="09/01/2025"/>
    <x v="8"/>
    <x v="16"/>
    <x v="2"/>
    <x v="0"/>
    <x v="3"/>
    <x v="1"/>
    <n v="204624"/>
    <n v="6"/>
    <n v="4.5999999999999996"/>
    <n v="6"/>
    <x v="10"/>
  </r>
  <r>
    <x v="114"/>
    <s v="23/12/2025"/>
    <x v="2"/>
    <x v="5"/>
    <x v="4"/>
    <x v="4"/>
    <x v="2"/>
    <x v="1"/>
    <n v="7968"/>
    <n v="8"/>
    <n v="3.3"/>
    <n v="4"/>
    <x v="8"/>
  </r>
  <r>
    <x v="115"/>
    <s v="23/07/2025"/>
    <x v="18"/>
    <x v="19"/>
    <x v="2"/>
    <x v="2"/>
    <x v="2"/>
    <x v="1"/>
    <n v="220384"/>
    <n v="8"/>
    <n v="4.8"/>
    <n v="1"/>
    <x v="4"/>
  </r>
  <r>
    <x v="116"/>
    <s v="14/08/2025"/>
    <x v="9"/>
    <x v="11"/>
    <x v="3"/>
    <x v="1"/>
    <x v="1"/>
    <x v="2"/>
    <n v="33425"/>
    <n v="7"/>
    <n v="4.9000000000000004"/>
    <n v="5"/>
    <x v="3"/>
  </r>
  <r>
    <x v="117"/>
    <s v="07/10/2025"/>
    <x v="4"/>
    <x v="18"/>
    <x v="3"/>
    <x v="1"/>
    <x v="1"/>
    <x v="0"/>
    <n v="16930"/>
    <n v="5"/>
    <n v="3.7"/>
    <n v="8"/>
    <x v="1"/>
  </r>
  <r>
    <x v="118"/>
    <s v="17/08/2025"/>
    <x v="9"/>
    <x v="4"/>
    <x v="3"/>
    <x v="1"/>
    <x v="1"/>
    <x v="1"/>
    <n v="4263"/>
    <n v="1"/>
    <n v="4.4000000000000004"/>
    <n v="1"/>
    <x v="3"/>
  </r>
  <r>
    <x v="119"/>
    <s v="16/01/2025"/>
    <x v="15"/>
    <x v="9"/>
    <x v="1"/>
    <x v="3"/>
    <x v="2"/>
    <x v="0"/>
    <n v="5703"/>
    <n v="3"/>
    <n v="3.6"/>
    <n v="6"/>
    <x v="10"/>
  </r>
  <r>
    <x v="120"/>
    <s v="10/07/2025"/>
    <x v="13"/>
    <x v="4"/>
    <x v="3"/>
    <x v="0"/>
    <x v="2"/>
    <x v="0"/>
    <n v="29648"/>
    <n v="8"/>
    <n v="3.8"/>
    <n v="5"/>
    <x v="4"/>
  </r>
  <r>
    <x v="121"/>
    <s v="15/10/2025"/>
    <x v="19"/>
    <x v="11"/>
    <x v="3"/>
    <x v="0"/>
    <x v="0"/>
    <x v="2"/>
    <n v="4914"/>
    <n v="2"/>
    <n v="3.7"/>
    <n v="8"/>
    <x v="1"/>
  </r>
  <r>
    <x v="122"/>
    <s v="16/08/2025"/>
    <x v="1"/>
    <x v="18"/>
    <x v="3"/>
    <x v="1"/>
    <x v="0"/>
    <x v="1"/>
    <n v="2462"/>
    <n v="2"/>
    <n v="4.2"/>
    <n v="5"/>
    <x v="3"/>
  </r>
  <r>
    <x v="123"/>
    <s v="04/03/2025"/>
    <x v="17"/>
    <x v="9"/>
    <x v="1"/>
    <x v="5"/>
    <x v="0"/>
    <x v="2"/>
    <n v="26848"/>
    <n v="4"/>
    <n v="4.2"/>
    <n v="6"/>
    <x v="6"/>
  </r>
  <r>
    <x v="124"/>
    <s v="23/07/2025"/>
    <x v="9"/>
    <x v="20"/>
    <x v="0"/>
    <x v="3"/>
    <x v="1"/>
    <x v="1"/>
    <n v="11008"/>
    <n v="8"/>
    <n v="3.4"/>
    <n v="6"/>
    <x v="4"/>
  </r>
  <r>
    <x v="125"/>
    <s v="08/03/2025"/>
    <x v="18"/>
    <x v="7"/>
    <x v="4"/>
    <x v="1"/>
    <x v="0"/>
    <x v="1"/>
    <n v="3332"/>
    <n v="7"/>
    <n v="3.7"/>
    <n v="3"/>
    <x v="6"/>
  </r>
  <r>
    <x v="126"/>
    <s v="10/02/2025"/>
    <x v="12"/>
    <x v="6"/>
    <x v="1"/>
    <x v="1"/>
    <x v="0"/>
    <x v="0"/>
    <n v="28805"/>
    <n v="5"/>
    <n v="4.3"/>
    <n v="2"/>
    <x v="7"/>
  </r>
  <r>
    <x v="127"/>
    <s v="16/10/2025"/>
    <x v="6"/>
    <x v="13"/>
    <x v="4"/>
    <x v="3"/>
    <x v="2"/>
    <x v="3"/>
    <n v="582"/>
    <n v="1"/>
    <n v="3.7"/>
    <n v="4"/>
    <x v="1"/>
  </r>
  <r>
    <x v="128"/>
    <s v="25/11/2025"/>
    <x v="1"/>
    <x v="6"/>
    <x v="1"/>
    <x v="3"/>
    <x v="1"/>
    <x v="3"/>
    <n v="41150"/>
    <n v="5"/>
    <n v="3.3"/>
    <n v="1"/>
    <x v="11"/>
  </r>
  <r>
    <x v="129"/>
    <s v="24/06/2025"/>
    <x v="18"/>
    <x v="18"/>
    <x v="3"/>
    <x v="4"/>
    <x v="1"/>
    <x v="2"/>
    <n v="11898"/>
    <n v="3"/>
    <n v="4.5999999999999996"/>
    <n v="2"/>
    <x v="9"/>
  </r>
  <r>
    <x v="130"/>
    <s v="07/05/2025"/>
    <x v="18"/>
    <x v="12"/>
    <x v="2"/>
    <x v="5"/>
    <x v="3"/>
    <x v="0"/>
    <n v="121614"/>
    <n v="3"/>
    <n v="4"/>
    <n v="3"/>
    <x v="0"/>
  </r>
  <r>
    <x v="131"/>
    <s v="21/09/2025"/>
    <x v="13"/>
    <x v="5"/>
    <x v="4"/>
    <x v="4"/>
    <x v="3"/>
    <x v="2"/>
    <n v="12104"/>
    <n v="8"/>
    <n v="4.9000000000000004"/>
    <n v="8"/>
    <x v="5"/>
  </r>
  <r>
    <x v="132"/>
    <s v="11/09/2025"/>
    <x v="15"/>
    <x v="20"/>
    <x v="0"/>
    <x v="3"/>
    <x v="3"/>
    <x v="2"/>
    <n v="7080"/>
    <n v="8"/>
    <n v="3.4"/>
    <n v="5"/>
    <x v="5"/>
  </r>
  <r>
    <x v="133"/>
    <s v="19/10/2025"/>
    <x v="4"/>
    <x v="3"/>
    <x v="3"/>
    <x v="1"/>
    <x v="2"/>
    <x v="0"/>
    <n v="15456"/>
    <n v="4"/>
    <n v="4"/>
    <n v="5"/>
    <x v="1"/>
  </r>
  <r>
    <x v="134"/>
    <s v="11/07/2025"/>
    <x v="2"/>
    <x v="15"/>
    <x v="0"/>
    <x v="0"/>
    <x v="0"/>
    <x v="1"/>
    <n v="8652"/>
    <n v="6"/>
    <n v="4.0999999999999996"/>
    <n v="1"/>
    <x v="4"/>
  </r>
  <r>
    <x v="135"/>
    <s v="18/03/2025"/>
    <x v="6"/>
    <x v="11"/>
    <x v="3"/>
    <x v="2"/>
    <x v="1"/>
    <x v="1"/>
    <n v="11757"/>
    <n v="3"/>
    <n v="4.5"/>
    <n v="5"/>
    <x v="6"/>
  </r>
  <r>
    <x v="136"/>
    <s v="08/07/2025"/>
    <x v="4"/>
    <x v="3"/>
    <x v="3"/>
    <x v="3"/>
    <x v="3"/>
    <x v="0"/>
    <n v="32886"/>
    <n v="6"/>
    <n v="4.5999999999999996"/>
    <n v="1"/>
    <x v="4"/>
  </r>
  <r>
    <x v="137"/>
    <s v="29/03/2025"/>
    <x v="18"/>
    <x v="15"/>
    <x v="0"/>
    <x v="3"/>
    <x v="0"/>
    <x v="3"/>
    <n v="4214"/>
    <n v="7"/>
    <n v="3.5"/>
    <n v="8"/>
    <x v="6"/>
  </r>
  <r>
    <x v="138"/>
    <s v="14/09/2025"/>
    <x v="12"/>
    <x v="5"/>
    <x v="4"/>
    <x v="3"/>
    <x v="3"/>
    <x v="0"/>
    <n v="4040"/>
    <n v="8"/>
    <n v="4.2"/>
    <n v="8"/>
    <x v="5"/>
  </r>
  <r>
    <x v="139"/>
    <s v="07/10/2025"/>
    <x v="10"/>
    <x v="4"/>
    <x v="3"/>
    <x v="2"/>
    <x v="0"/>
    <x v="1"/>
    <n v="27996"/>
    <n v="6"/>
    <n v="4.9000000000000004"/>
    <n v="5"/>
    <x v="1"/>
  </r>
  <r>
    <x v="140"/>
    <s v="20/12/2025"/>
    <x v="5"/>
    <x v="2"/>
    <x v="2"/>
    <x v="2"/>
    <x v="0"/>
    <x v="1"/>
    <n v="385744"/>
    <n v="8"/>
    <n v="3.7"/>
    <n v="7"/>
    <x v="8"/>
  </r>
  <r>
    <x v="141"/>
    <s v="10/02/2025"/>
    <x v="10"/>
    <x v="20"/>
    <x v="0"/>
    <x v="1"/>
    <x v="3"/>
    <x v="0"/>
    <n v="7230"/>
    <n v="6"/>
    <n v="4.7"/>
    <n v="5"/>
    <x v="7"/>
  </r>
  <r>
    <x v="142"/>
    <s v="05/05/2025"/>
    <x v="18"/>
    <x v="10"/>
    <x v="0"/>
    <x v="1"/>
    <x v="1"/>
    <x v="2"/>
    <n v="1671"/>
    <n v="1"/>
    <n v="3.3"/>
    <n v="7"/>
    <x v="0"/>
  </r>
  <r>
    <x v="143"/>
    <s v="09/10/2025"/>
    <x v="9"/>
    <x v="17"/>
    <x v="4"/>
    <x v="1"/>
    <x v="0"/>
    <x v="2"/>
    <n v="6594"/>
    <n v="3"/>
    <n v="3.8"/>
    <n v="1"/>
    <x v="1"/>
  </r>
  <r>
    <x v="144"/>
    <s v="01/04/2025"/>
    <x v="18"/>
    <x v="5"/>
    <x v="4"/>
    <x v="2"/>
    <x v="1"/>
    <x v="3"/>
    <n v="2279"/>
    <n v="1"/>
    <n v="3.2"/>
    <n v="2"/>
    <x v="2"/>
  </r>
  <r>
    <x v="145"/>
    <s v="20/05/2025"/>
    <x v="0"/>
    <x v="5"/>
    <x v="4"/>
    <x v="1"/>
    <x v="3"/>
    <x v="1"/>
    <n v="6416"/>
    <n v="4"/>
    <n v="3.7"/>
    <n v="3"/>
    <x v="0"/>
  </r>
  <r>
    <x v="146"/>
    <s v="31/03/2025"/>
    <x v="8"/>
    <x v="9"/>
    <x v="1"/>
    <x v="3"/>
    <x v="3"/>
    <x v="0"/>
    <n v="51569"/>
    <n v="7"/>
    <n v="4.4000000000000004"/>
    <n v="3"/>
    <x v="6"/>
  </r>
  <r>
    <x v="147"/>
    <s v="16/07/2025"/>
    <x v="11"/>
    <x v="20"/>
    <x v="0"/>
    <x v="1"/>
    <x v="3"/>
    <x v="0"/>
    <n v="4856"/>
    <n v="4"/>
    <n v="4.5"/>
    <n v="1"/>
    <x v="4"/>
  </r>
  <r>
    <x v="148"/>
    <s v="27/08/2025"/>
    <x v="15"/>
    <x v="0"/>
    <x v="0"/>
    <x v="5"/>
    <x v="0"/>
    <x v="0"/>
    <n v="3135"/>
    <n v="5"/>
    <n v="4.3"/>
    <n v="5"/>
    <x v="3"/>
  </r>
  <r>
    <x v="149"/>
    <s v="20/03/2025"/>
    <x v="13"/>
    <x v="5"/>
    <x v="4"/>
    <x v="1"/>
    <x v="2"/>
    <x v="3"/>
    <n v="14240"/>
    <n v="8"/>
    <n v="4.5999999999999996"/>
    <n v="4"/>
    <x v="6"/>
  </r>
  <r>
    <x v="150"/>
    <s v="09/02/2025"/>
    <x v="18"/>
    <x v="6"/>
    <x v="1"/>
    <x v="5"/>
    <x v="1"/>
    <x v="2"/>
    <n v="20366"/>
    <n v="2"/>
    <n v="4.2"/>
    <n v="3"/>
    <x v="7"/>
  </r>
  <r>
    <x v="151"/>
    <s v="16/02/2025"/>
    <x v="10"/>
    <x v="5"/>
    <x v="4"/>
    <x v="3"/>
    <x v="3"/>
    <x v="2"/>
    <n v="16856"/>
    <n v="8"/>
    <n v="4"/>
    <n v="1"/>
    <x v="7"/>
  </r>
  <r>
    <x v="152"/>
    <s v="02/01/2025"/>
    <x v="9"/>
    <x v="4"/>
    <x v="3"/>
    <x v="3"/>
    <x v="2"/>
    <x v="1"/>
    <n v="16680"/>
    <n v="4"/>
    <n v="4.5"/>
    <n v="1"/>
    <x v="10"/>
  </r>
  <r>
    <x v="153"/>
    <s v="11/03/2025"/>
    <x v="15"/>
    <x v="18"/>
    <x v="3"/>
    <x v="0"/>
    <x v="0"/>
    <x v="3"/>
    <n v="26544"/>
    <n v="7"/>
    <n v="3.3"/>
    <n v="3"/>
    <x v="6"/>
  </r>
  <r>
    <x v="154"/>
    <s v="25/04/2025"/>
    <x v="13"/>
    <x v="9"/>
    <x v="1"/>
    <x v="3"/>
    <x v="3"/>
    <x v="0"/>
    <n v="7748"/>
    <n v="1"/>
    <n v="4.2"/>
    <n v="4"/>
    <x v="2"/>
  </r>
  <r>
    <x v="155"/>
    <s v="27/02/2025"/>
    <x v="4"/>
    <x v="2"/>
    <x v="2"/>
    <x v="0"/>
    <x v="1"/>
    <x v="2"/>
    <n v="83099"/>
    <n v="1"/>
    <n v="3.6"/>
    <n v="2"/>
    <x v="7"/>
  </r>
  <r>
    <x v="156"/>
    <s v="25/07/2025"/>
    <x v="13"/>
    <x v="17"/>
    <x v="4"/>
    <x v="1"/>
    <x v="3"/>
    <x v="1"/>
    <n v="19680"/>
    <n v="8"/>
    <n v="4.0999999999999996"/>
    <n v="5"/>
    <x v="4"/>
  </r>
  <r>
    <x v="157"/>
    <s v="15/03/2025"/>
    <x v="16"/>
    <x v="13"/>
    <x v="4"/>
    <x v="5"/>
    <x v="1"/>
    <x v="2"/>
    <n v="5920"/>
    <n v="4"/>
    <n v="4.9000000000000004"/>
    <n v="3"/>
    <x v="6"/>
  </r>
  <r>
    <x v="158"/>
    <s v="26/09/2025"/>
    <x v="13"/>
    <x v="12"/>
    <x v="2"/>
    <x v="4"/>
    <x v="3"/>
    <x v="0"/>
    <n v="336066"/>
    <n v="6"/>
    <n v="3.9"/>
    <n v="8"/>
    <x v="5"/>
  </r>
  <r>
    <x v="159"/>
    <s v="15/10/2025"/>
    <x v="9"/>
    <x v="3"/>
    <x v="3"/>
    <x v="3"/>
    <x v="3"/>
    <x v="2"/>
    <n v="27167"/>
    <n v="7"/>
    <n v="3.7"/>
    <n v="6"/>
    <x v="1"/>
  </r>
  <r>
    <x v="160"/>
    <s v="27/01/2025"/>
    <x v="14"/>
    <x v="9"/>
    <x v="1"/>
    <x v="4"/>
    <x v="3"/>
    <x v="1"/>
    <n v="52130"/>
    <n v="5"/>
    <n v="4.5"/>
    <n v="4"/>
    <x v="10"/>
  </r>
  <r>
    <x v="161"/>
    <s v="08/04/2025"/>
    <x v="3"/>
    <x v="10"/>
    <x v="0"/>
    <x v="3"/>
    <x v="1"/>
    <x v="1"/>
    <n v="2560"/>
    <n v="2"/>
    <n v="4.8"/>
    <n v="6"/>
    <x v="2"/>
  </r>
  <r>
    <x v="162"/>
    <s v="04/07/2025"/>
    <x v="2"/>
    <x v="16"/>
    <x v="2"/>
    <x v="5"/>
    <x v="0"/>
    <x v="0"/>
    <n v="512296"/>
    <n v="8"/>
    <n v="3.9"/>
    <n v="7"/>
    <x v="4"/>
  </r>
  <r>
    <x v="163"/>
    <s v="11/10/2025"/>
    <x v="14"/>
    <x v="20"/>
    <x v="0"/>
    <x v="5"/>
    <x v="3"/>
    <x v="1"/>
    <n v="6328"/>
    <n v="7"/>
    <n v="3.9"/>
    <n v="4"/>
    <x v="1"/>
  </r>
  <r>
    <x v="164"/>
    <s v="24/08/2025"/>
    <x v="12"/>
    <x v="11"/>
    <x v="3"/>
    <x v="0"/>
    <x v="2"/>
    <x v="2"/>
    <n v="5538"/>
    <n v="3"/>
    <n v="4.0999999999999996"/>
    <n v="1"/>
    <x v="3"/>
  </r>
  <r>
    <x v="165"/>
    <s v="12/03/2025"/>
    <x v="4"/>
    <x v="15"/>
    <x v="0"/>
    <x v="1"/>
    <x v="1"/>
    <x v="3"/>
    <n v="1756"/>
    <n v="4"/>
    <n v="4"/>
    <n v="1"/>
    <x v="6"/>
  </r>
  <r>
    <x v="166"/>
    <s v="30/09/2025"/>
    <x v="12"/>
    <x v="0"/>
    <x v="0"/>
    <x v="1"/>
    <x v="1"/>
    <x v="0"/>
    <n v="2268"/>
    <n v="7"/>
    <n v="5"/>
    <n v="1"/>
    <x v="5"/>
  </r>
  <r>
    <x v="167"/>
    <s v="26/09/2025"/>
    <x v="5"/>
    <x v="0"/>
    <x v="0"/>
    <x v="0"/>
    <x v="3"/>
    <x v="3"/>
    <n v="2379"/>
    <n v="3"/>
    <n v="4.7"/>
    <n v="5"/>
    <x v="5"/>
  </r>
  <r>
    <x v="168"/>
    <s v="23/12/2025"/>
    <x v="2"/>
    <x v="18"/>
    <x v="3"/>
    <x v="1"/>
    <x v="2"/>
    <x v="0"/>
    <n v="5860"/>
    <n v="4"/>
    <n v="3.9"/>
    <n v="8"/>
    <x v="8"/>
  </r>
  <r>
    <x v="169"/>
    <s v="11/08/2025"/>
    <x v="11"/>
    <x v="15"/>
    <x v="0"/>
    <x v="0"/>
    <x v="2"/>
    <x v="1"/>
    <n v="8748"/>
    <n v="6"/>
    <n v="3.6"/>
    <n v="8"/>
    <x v="3"/>
  </r>
  <r>
    <x v="170"/>
    <s v="02/04/2025"/>
    <x v="1"/>
    <x v="1"/>
    <x v="1"/>
    <x v="5"/>
    <x v="0"/>
    <x v="3"/>
    <n v="43950"/>
    <n v="6"/>
    <n v="4.9000000000000004"/>
    <n v="5"/>
    <x v="2"/>
  </r>
  <r>
    <x v="171"/>
    <s v="16/07/2025"/>
    <x v="9"/>
    <x v="6"/>
    <x v="1"/>
    <x v="2"/>
    <x v="1"/>
    <x v="1"/>
    <n v="5037"/>
    <n v="3"/>
    <n v="3.4"/>
    <n v="4"/>
    <x v="4"/>
  </r>
  <r>
    <x v="172"/>
    <s v="19/08/2025"/>
    <x v="9"/>
    <x v="20"/>
    <x v="0"/>
    <x v="5"/>
    <x v="3"/>
    <x v="0"/>
    <n v="6136"/>
    <n v="8"/>
    <n v="3.5"/>
    <n v="7"/>
    <x v="3"/>
  </r>
  <r>
    <x v="173"/>
    <s v="18/05/2025"/>
    <x v="3"/>
    <x v="0"/>
    <x v="0"/>
    <x v="3"/>
    <x v="3"/>
    <x v="1"/>
    <n v="3234"/>
    <n v="3"/>
    <n v="3.4"/>
    <n v="1"/>
    <x v="0"/>
  </r>
  <r>
    <x v="174"/>
    <s v="14/02/2025"/>
    <x v="9"/>
    <x v="10"/>
    <x v="0"/>
    <x v="2"/>
    <x v="2"/>
    <x v="1"/>
    <n v="3546"/>
    <n v="3"/>
    <n v="3.9"/>
    <n v="1"/>
    <x v="7"/>
  </r>
  <r>
    <x v="175"/>
    <s v="30/05/2025"/>
    <x v="1"/>
    <x v="3"/>
    <x v="3"/>
    <x v="4"/>
    <x v="3"/>
    <x v="1"/>
    <n v="18816"/>
    <n v="7"/>
    <n v="4.0999999999999996"/>
    <n v="7"/>
    <x v="0"/>
  </r>
  <r>
    <x v="176"/>
    <s v="16/03/2025"/>
    <x v="15"/>
    <x v="12"/>
    <x v="2"/>
    <x v="2"/>
    <x v="0"/>
    <x v="3"/>
    <n v="77340"/>
    <n v="2"/>
    <n v="4.0999999999999996"/>
    <n v="2"/>
    <x v="6"/>
  </r>
  <r>
    <x v="177"/>
    <s v="23/08/2025"/>
    <x v="18"/>
    <x v="9"/>
    <x v="1"/>
    <x v="3"/>
    <x v="3"/>
    <x v="3"/>
    <n v="12486"/>
    <n v="2"/>
    <n v="4.7"/>
    <n v="7"/>
    <x v="3"/>
  </r>
  <r>
    <x v="178"/>
    <s v="03/06/2025"/>
    <x v="3"/>
    <x v="9"/>
    <x v="1"/>
    <x v="1"/>
    <x v="1"/>
    <x v="0"/>
    <n v="22260"/>
    <n v="6"/>
    <n v="4.9000000000000004"/>
    <n v="6"/>
    <x v="9"/>
  </r>
  <r>
    <x v="179"/>
    <s v="24/05/2025"/>
    <x v="10"/>
    <x v="12"/>
    <x v="2"/>
    <x v="0"/>
    <x v="1"/>
    <x v="0"/>
    <n v="534835"/>
    <n v="7"/>
    <n v="5"/>
    <n v="3"/>
    <x v="0"/>
  </r>
  <r>
    <x v="180"/>
    <s v="21/12/2025"/>
    <x v="16"/>
    <x v="4"/>
    <x v="3"/>
    <x v="3"/>
    <x v="2"/>
    <x v="3"/>
    <n v="11776"/>
    <n v="2"/>
    <n v="3.6"/>
    <n v="3"/>
    <x v="8"/>
  </r>
  <r>
    <x v="181"/>
    <s v="26/10/2025"/>
    <x v="10"/>
    <x v="8"/>
    <x v="1"/>
    <x v="5"/>
    <x v="2"/>
    <x v="2"/>
    <n v="9814"/>
    <n v="7"/>
    <n v="4.5999999999999996"/>
    <n v="6"/>
    <x v="1"/>
  </r>
  <r>
    <x v="182"/>
    <s v="27/03/2025"/>
    <x v="13"/>
    <x v="13"/>
    <x v="4"/>
    <x v="5"/>
    <x v="0"/>
    <x v="3"/>
    <n v="1886"/>
    <n v="1"/>
    <n v="3.2"/>
    <n v="5"/>
    <x v="6"/>
  </r>
  <r>
    <x v="183"/>
    <s v="26/08/2025"/>
    <x v="7"/>
    <x v="12"/>
    <x v="2"/>
    <x v="1"/>
    <x v="0"/>
    <x v="1"/>
    <n v="197331"/>
    <n v="3"/>
    <n v="3.9"/>
    <n v="2"/>
    <x v="3"/>
  </r>
  <r>
    <x v="184"/>
    <s v="22/08/2025"/>
    <x v="18"/>
    <x v="16"/>
    <x v="2"/>
    <x v="0"/>
    <x v="3"/>
    <x v="2"/>
    <n v="192608"/>
    <n v="4"/>
    <n v="4"/>
    <n v="8"/>
    <x v="3"/>
  </r>
  <r>
    <x v="185"/>
    <s v="25/06/2025"/>
    <x v="10"/>
    <x v="0"/>
    <x v="0"/>
    <x v="3"/>
    <x v="1"/>
    <x v="0"/>
    <n v="3372"/>
    <n v="2"/>
    <n v="4.2"/>
    <n v="6"/>
    <x v="9"/>
  </r>
  <r>
    <x v="186"/>
    <s v="06/04/2025"/>
    <x v="0"/>
    <x v="18"/>
    <x v="3"/>
    <x v="1"/>
    <x v="0"/>
    <x v="0"/>
    <n v="16212"/>
    <n v="7"/>
    <n v="4.3"/>
    <n v="7"/>
    <x v="2"/>
  </r>
  <r>
    <x v="187"/>
    <s v="23/10/2025"/>
    <x v="14"/>
    <x v="14"/>
    <x v="2"/>
    <x v="5"/>
    <x v="3"/>
    <x v="3"/>
    <n v="100890"/>
    <n v="2"/>
    <n v="4"/>
    <n v="5"/>
    <x v="1"/>
  </r>
  <r>
    <x v="188"/>
    <s v="28/10/2025"/>
    <x v="4"/>
    <x v="8"/>
    <x v="1"/>
    <x v="5"/>
    <x v="2"/>
    <x v="0"/>
    <n v="7252"/>
    <n v="2"/>
    <n v="4.7"/>
    <n v="5"/>
    <x v="1"/>
  </r>
  <r>
    <x v="189"/>
    <s v="03/05/2025"/>
    <x v="6"/>
    <x v="14"/>
    <x v="2"/>
    <x v="3"/>
    <x v="1"/>
    <x v="0"/>
    <n v="257145"/>
    <n v="5"/>
    <n v="3.9"/>
    <n v="3"/>
    <x v="0"/>
  </r>
  <r>
    <x v="190"/>
    <s v="12/10/2025"/>
    <x v="15"/>
    <x v="18"/>
    <x v="3"/>
    <x v="0"/>
    <x v="1"/>
    <x v="0"/>
    <n v="6696"/>
    <n v="3"/>
    <n v="4.7"/>
    <n v="1"/>
    <x v="1"/>
  </r>
  <r>
    <x v="191"/>
    <s v="15/10/2025"/>
    <x v="13"/>
    <x v="5"/>
    <x v="4"/>
    <x v="2"/>
    <x v="2"/>
    <x v="1"/>
    <n v="18112"/>
    <n v="8"/>
    <n v="3.5"/>
    <n v="1"/>
    <x v="1"/>
  </r>
  <r>
    <x v="192"/>
    <s v="28/03/2025"/>
    <x v="10"/>
    <x v="13"/>
    <x v="4"/>
    <x v="2"/>
    <x v="2"/>
    <x v="3"/>
    <n v="18224"/>
    <n v="8"/>
    <n v="4.2"/>
    <n v="5"/>
    <x v="6"/>
  </r>
  <r>
    <x v="193"/>
    <s v="06/08/2025"/>
    <x v="17"/>
    <x v="9"/>
    <x v="1"/>
    <x v="0"/>
    <x v="0"/>
    <x v="0"/>
    <n v="16336"/>
    <n v="2"/>
    <n v="3.7"/>
    <n v="2"/>
    <x v="3"/>
  </r>
  <r>
    <x v="194"/>
    <s v="30/12/2025"/>
    <x v="4"/>
    <x v="6"/>
    <x v="1"/>
    <x v="5"/>
    <x v="0"/>
    <x v="1"/>
    <n v="12404"/>
    <n v="7"/>
    <n v="4.2"/>
    <n v="5"/>
    <x v="8"/>
  </r>
  <r>
    <x v="195"/>
    <s v="21/10/2025"/>
    <x v="8"/>
    <x v="16"/>
    <x v="2"/>
    <x v="4"/>
    <x v="0"/>
    <x v="1"/>
    <n v="101355"/>
    <n v="5"/>
    <n v="5"/>
    <n v="3"/>
    <x v="1"/>
  </r>
  <r>
    <x v="196"/>
    <s v="08/09/2025"/>
    <x v="5"/>
    <x v="5"/>
    <x v="4"/>
    <x v="5"/>
    <x v="3"/>
    <x v="1"/>
    <n v="4050"/>
    <n v="3"/>
    <n v="4"/>
    <n v="2"/>
    <x v="5"/>
  </r>
  <r>
    <x v="197"/>
    <s v="17/06/2025"/>
    <x v="10"/>
    <x v="11"/>
    <x v="3"/>
    <x v="3"/>
    <x v="0"/>
    <x v="3"/>
    <n v="5900"/>
    <n v="1"/>
    <n v="4.5"/>
    <n v="2"/>
    <x v="9"/>
  </r>
  <r>
    <x v="198"/>
    <s v="18/05/2025"/>
    <x v="18"/>
    <x v="5"/>
    <x v="4"/>
    <x v="1"/>
    <x v="2"/>
    <x v="2"/>
    <n v="9798"/>
    <n v="6"/>
    <n v="4.2"/>
    <n v="8"/>
    <x v="0"/>
  </r>
  <r>
    <x v="199"/>
    <s v="09/01/2025"/>
    <x v="3"/>
    <x v="15"/>
    <x v="0"/>
    <x v="4"/>
    <x v="3"/>
    <x v="2"/>
    <n v="1246"/>
    <n v="2"/>
    <n v="3.6"/>
    <n v="3"/>
    <x v="10"/>
  </r>
  <r>
    <x v="200"/>
    <s v="12/02/2025"/>
    <x v="16"/>
    <x v="16"/>
    <x v="2"/>
    <x v="1"/>
    <x v="2"/>
    <x v="2"/>
    <n v="55722"/>
    <n v="6"/>
    <n v="3.7"/>
    <n v="4"/>
    <x v="7"/>
  </r>
  <r>
    <x v="201"/>
    <s v="02/09/2025"/>
    <x v="7"/>
    <x v="10"/>
    <x v="0"/>
    <x v="3"/>
    <x v="0"/>
    <x v="3"/>
    <n v="1142"/>
    <n v="2"/>
    <n v="3.2"/>
    <n v="6"/>
    <x v="5"/>
  </r>
  <r>
    <x v="202"/>
    <s v="16/07/2025"/>
    <x v="5"/>
    <x v="10"/>
    <x v="0"/>
    <x v="4"/>
    <x v="0"/>
    <x v="2"/>
    <n v="3592"/>
    <n v="2"/>
    <n v="4.8"/>
    <n v="3"/>
    <x v="4"/>
  </r>
  <r>
    <x v="203"/>
    <s v="09/11/2025"/>
    <x v="19"/>
    <x v="1"/>
    <x v="1"/>
    <x v="0"/>
    <x v="2"/>
    <x v="0"/>
    <n v="9840"/>
    <n v="3"/>
    <n v="4.9000000000000004"/>
    <n v="8"/>
    <x v="11"/>
  </r>
  <r>
    <x v="204"/>
    <s v="29/06/2025"/>
    <x v="0"/>
    <x v="15"/>
    <x v="0"/>
    <x v="1"/>
    <x v="3"/>
    <x v="0"/>
    <n v="6608"/>
    <n v="7"/>
    <n v="3.4"/>
    <n v="5"/>
    <x v="9"/>
  </r>
  <r>
    <x v="205"/>
    <s v="20/07/2025"/>
    <x v="4"/>
    <x v="9"/>
    <x v="1"/>
    <x v="0"/>
    <x v="2"/>
    <x v="1"/>
    <n v="35610"/>
    <n v="5"/>
    <n v="3.4"/>
    <n v="8"/>
    <x v="4"/>
  </r>
  <r>
    <x v="206"/>
    <s v="18/07/2025"/>
    <x v="0"/>
    <x v="2"/>
    <x v="2"/>
    <x v="2"/>
    <x v="0"/>
    <x v="2"/>
    <n v="176015"/>
    <n v="7"/>
    <n v="3.2"/>
    <n v="2"/>
    <x v="4"/>
  </r>
  <r>
    <x v="207"/>
    <s v="17/09/2025"/>
    <x v="11"/>
    <x v="15"/>
    <x v="0"/>
    <x v="0"/>
    <x v="3"/>
    <x v="2"/>
    <n v="7935"/>
    <n v="5"/>
    <n v="3.3"/>
    <n v="3"/>
    <x v="5"/>
  </r>
  <r>
    <x v="208"/>
    <s v="21/03/2025"/>
    <x v="16"/>
    <x v="9"/>
    <x v="1"/>
    <x v="0"/>
    <x v="1"/>
    <x v="2"/>
    <n v="28254"/>
    <n v="6"/>
    <n v="3.3"/>
    <n v="2"/>
    <x v="6"/>
  </r>
  <r>
    <x v="209"/>
    <s v="03/03/2025"/>
    <x v="1"/>
    <x v="2"/>
    <x v="2"/>
    <x v="2"/>
    <x v="0"/>
    <x v="1"/>
    <n v="3987"/>
    <n v="1"/>
    <n v="4.9000000000000004"/>
    <n v="5"/>
    <x v="6"/>
  </r>
  <r>
    <x v="210"/>
    <s v="21/06/2025"/>
    <x v="17"/>
    <x v="0"/>
    <x v="0"/>
    <x v="5"/>
    <x v="3"/>
    <x v="2"/>
    <n v="5999"/>
    <n v="7"/>
    <n v="4.3"/>
    <n v="8"/>
    <x v="9"/>
  </r>
  <r>
    <x v="211"/>
    <s v="08/07/2025"/>
    <x v="2"/>
    <x v="18"/>
    <x v="3"/>
    <x v="0"/>
    <x v="0"/>
    <x v="2"/>
    <n v="4932"/>
    <n v="3"/>
    <n v="4.5"/>
    <n v="1"/>
    <x v="4"/>
  </r>
  <r>
    <x v="212"/>
    <s v="16/07/2025"/>
    <x v="18"/>
    <x v="4"/>
    <x v="3"/>
    <x v="2"/>
    <x v="2"/>
    <x v="1"/>
    <n v="12405"/>
    <n v="3"/>
    <n v="3.8"/>
    <n v="7"/>
    <x v="4"/>
  </r>
  <r>
    <x v="213"/>
    <s v="02/04/2025"/>
    <x v="18"/>
    <x v="0"/>
    <x v="0"/>
    <x v="0"/>
    <x v="1"/>
    <x v="2"/>
    <n v="5424"/>
    <n v="4"/>
    <n v="4.8"/>
    <n v="5"/>
    <x v="2"/>
  </r>
  <r>
    <x v="214"/>
    <s v="30/05/2025"/>
    <x v="10"/>
    <x v="2"/>
    <x v="2"/>
    <x v="4"/>
    <x v="0"/>
    <x v="2"/>
    <n v="316535"/>
    <n v="5"/>
    <n v="4.9000000000000004"/>
    <n v="4"/>
    <x v="0"/>
  </r>
  <r>
    <x v="215"/>
    <s v="30/04/2025"/>
    <x v="7"/>
    <x v="3"/>
    <x v="3"/>
    <x v="4"/>
    <x v="0"/>
    <x v="3"/>
    <n v="4266"/>
    <n v="6"/>
    <n v="3.9"/>
    <n v="5"/>
    <x v="2"/>
  </r>
  <r>
    <x v="216"/>
    <s v="14/03/2025"/>
    <x v="17"/>
    <x v="3"/>
    <x v="3"/>
    <x v="1"/>
    <x v="2"/>
    <x v="2"/>
    <n v="24785"/>
    <n v="5"/>
    <n v="4.5"/>
    <n v="6"/>
    <x v="6"/>
  </r>
  <r>
    <x v="217"/>
    <s v="23/11/2025"/>
    <x v="5"/>
    <x v="9"/>
    <x v="1"/>
    <x v="1"/>
    <x v="3"/>
    <x v="1"/>
    <n v="32753"/>
    <n v="7"/>
    <n v="3.7"/>
    <n v="6"/>
    <x v="11"/>
  </r>
  <r>
    <x v="218"/>
    <s v="30/04/2025"/>
    <x v="17"/>
    <x v="4"/>
    <x v="3"/>
    <x v="2"/>
    <x v="1"/>
    <x v="2"/>
    <n v="3184"/>
    <n v="2"/>
    <n v="3.4"/>
    <n v="8"/>
    <x v="2"/>
  </r>
  <r>
    <x v="219"/>
    <s v="17/04/2025"/>
    <x v="4"/>
    <x v="6"/>
    <x v="1"/>
    <x v="0"/>
    <x v="0"/>
    <x v="1"/>
    <n v="18248"/>
    <n v="8"/>
    <n v="3.5"/>
    <n v="5"/>
    <x v="2"/>
  </r>
  <r>
    <x v="220"/>
    <s v="31/12/2025"/>
    <x v="0"/>
    <x v="17"/>
    <x v="4"/>
    <x v="3"/>
    <x v="1"/>
    <x v="0"/>
    <n v="7492"/>
    <n v="4"/>
    <n v="3.7"/>
    <n v="3"/>
    <x v="8"/>
  </r>
  <r>
    <x v="221"/>
    <s v="22/02/2025"/>
    <x v="15"/>
    <x v="15"/>
    <x v="0"/>
    <x v="1"/>
    <x v="2"/>
    <x v="1"/>
    <n v="1644"/>
    <n v="3"/>
    <n v="3.6"/>
    <n v="7"/>
    <x v="7"/>
  </r>
  <r>
    <x v="222"/>
    <s v="03/02/2025"/>
    <x v="2"/>
    <x v="0"/>
    <x v="0"/>
    <x v="4"/>
    <x v="1"/>
    <x v="3"/>
    <n v="6488"/>
    <n v="4"/>
    <n v="3.4"/>
    <n v="8"/>
    <x v="7"/>
  </r>
  <r>
    <x v="223"/>
    <s v="15/07/2025"/>
    <x v="2"/>
    <x v="3"/>
    <x v="3"/>
    <x v="5"/>
    <x v="0"/>
    <x v="1"/>
    <n v="15631"/>
    <n v="7"/>
    <n v="3.7"/>
    <n v="3"/>
    <x v="4"/>
  </r>
  <r>
    <x v="224"/>
    <s v="09/10/2025"/>
    <x v="10"/>
    <x v="11"/>
    <x v="3"/>
    <x v="0"/>
    <x v="1"/>
    <x v="1"/>
    <n v="30696"/>
    <n v="8"/>
    <n v="4"/>
    <n v="4"/>
    <x v="1"/>
  </r>
  <r>
    <x v="225"/>
    <s v="26/06/2025"/>
    <x v="11"/>
    <x v="11"/>
    <x v="3"/>
    <x v="0"/>
    <x v="1"/>
    <x v="1"/>
    <n v="5478"/>
    <n v="6"/>
    <n v="4.3"/>
    <n v="1"/>
    <x v="9"/>
  </r>
  <r>
    <x v="226"/>
    <s v="23/03/2025"/>
    <x v="6"/>
    <x v="9"/>
    <x v="1"/>
    <x v="3"/>
    <x v="3"/>
    <x v="0"/>
    <n v="3432"/>
    <n v="2"/>
    <n v="4.5999999999999996"/>
    <n v="4"/>
    <x v="6"/>
  </r>
  <r>
    <x v="227"/>
    <s v="31/10/2025"/>
    <x v="6"/>
    <x v="7"/>
    <x v="4"/>
    <x v="4"/>
    <x v="1"/>
    <x v="1"/>
    <n v="10314"/>
    <n v="6"/>
    <n v="4.9000000000000004"/>
    <n v="3"/>
    <x v="1"/>
  </r>
  <r>
    <x v="228"/>
    <s v="20/01/2025"/>
    <x v="18"/>
    <x v="5"/>
    <x v="4"/>
    <x v="5"/>
    <x v="0"/>
    <x v="0"/>
    <n v="2404"/>
    <n v="2"/>
    <n v="4.0999999999999996"/>
    <n v="1"/>
    <x v="10"/>
  </r>
  <r>
    <x v="229"/>
    <s v="15/06/2025"/>
    <x v="9"/>
    <x v="2"/>
    <x v="2"/>
    <x v="2"/>
    <x v="1"/>
    <x v="2"/>
    <n v="79388"/>
    <n v="1"/>
    <n v="4.7"/>
    <n v="6"/>
    <x v="9"/>
  </r>
  <r>
    <x v="230"/>
    <s v="15/06/2025"/>
    <x v="13"/>
    <x v="16"/>
    <x v="2"/>
    <x v="1"/>
    <x v="0"/>
    <x v="3"/>
    <n v="199074"/>
    <n v="3"/>
    <n v="4.5"/>
    <n v="6"/>
    <x v="9"/>
  </r>
  <r>
    <x v="231"/>
    <s v="07/03/2025"/>
    <x v="4"/>
    <x v="16"/>
    <x v="2"/>
    <x v="4"/>
    <x v="2"/>
    <x v="3"/>
    <n v="232746"/>
    <n v="3"/>
    <n v="3.3"/>
    <n v="6"/>
    <x v="6"/>
  </r>
  <r>
    <x v="232"/>
    <s v="09/02/2025"/>
    <x v="17"/>
    <x v="13"/>
    <x v="4"/>
    <x v="0"/>
    <x v="3"/>
    <x v="0"/>
    <n v="6232"/>
    <n v="4"/>
    <n v="4.7"/>
    <n v="6"/>
    <x v="7"/>
  </r>
  <r>
    <x v="233"/>
    <s v="29/06/2025"/>
    <x v="16"/>
    <x v="17"/>
    <x v="4"/>
    <x v="3"/>
    <x v="1"/>
    <x v="1"/>
    <n v="1275"/>
    <n v="5"/>
    <n v="4.5"/>
    <n v="3"/>
    <x v="9"/>
  </r>
  <r>
    <x v="234"/>
    <s v="21/02/2025"/>
    <x v="3"/>
    <x v="8"/>
    <x v="1"/>
    <x v="0"/>
    <x v="3"/>
    <x v="1"/>
    <n v="16056"/>
    <n v="8"/>
    <n v="4.5999999999999996"/>
    <n v="1"/>
    <x v="7"/>
  </r>
  <r>
    <x v="235"/>
    <s v="25/06/2025"/>
    <x v="0"/>
    <x v="0"/>
    <x v="0"/>
    <x v="3"/>
    <x v="0"/>
    <x v="3"/>
    <n v="3204"/>
    <n v="3"/>
    <n v="3.8"/>
    <n v="8"/>
    <x v="9"/>
  </r>
  <r>
    <x v="236"/>
    <s v="21/02/2025"/>
    <x v="3"/>
    <x v="17"/>
    <x v="4"/>
    <x v="4"/>
    <x v="2"/>
    <x v="2"/>
    <n v="6168"/>
    <n v="6"/>
    <n v="3.7"/>
    <n v="5"/>
    <x v="7"/>
  </r>
  <r>
    <x v="237"/>
    <s v="20/03/2025"/>
    <x v="19"/>
    <x v="11"/>
    <x v="3"/>
    <x v="0"/>
    <x v="2"/>
    <x v="0"/>
    <n v="1417"/>
    <n v="1"/>
    <n v="4.7"/>
    <n v="8"/>
    <x v="6"/>
  </r>
  <r>
    <x v="238"/>
    <s v="11/02/2025"/>
    <x v="9"/>
    <x v="13"/>
    <x v="4"/>
    <x v="1"/>
    <x v="1"/>
    <x v="0"/>
    <n v="12104"/>
    <n v="8"/>
    <n v="4.8"/>
    <n v="5"/>
    <x v="7"/>
  </r>
  <r>
    <x v="239"/>
    <s v="09/07/2025"/>
    <x v="6"/>
    <x v="12"/>
    <x v="2"/>
    <x v="0"/>
    <x v="0"/>
    <x v="2"/>
    <n v="111030"/>
    <n v="3"/>
    <n v="3.7"/>
    <n v="5"/>
    <x v="4"/>
  </r>
  <r>
    <x v="240"/>
    <s v="05/10/2025"/>
    <x v="10"/>
    <x v="20"/>
    <x v="0"/>
    <x v="1"/>
    <x v="1"/>
    <x v="0"/>
    <n v="10549"/>
    <n v="7"/>
    <n v="4.7"/>
    <n v="7"/>
    <x v="1"/>
  </r>
  <r>
    <x v="241"/>
    <s v="10/02/2025"/>
    <x v="7"/>
    <x v="4"/>
    <x v="3"/>
    <x v="3"/>
    <x v="0"/>
    <x v="0"/>
    <n v="37653"/>
    <n v="7"/>
    <n v="4.5999999999999996"/>
    <n v="3"/>
    <x v="7"/>
  </r>
  <r>
    <x v="242"/>
    <s v="06/03/2025"/>
    <x v="18"/>
    <x v="7"/>
    <x v="4"/>
    <x v="1"/>
    <x v="2"/>
    <x v="2"/>
    <n v="570"/>
    <n v="1"/>
    <n v="3.5"/>
    <n v="5"/>
    <x v="6"/>
  </r>
  <r>
    <x v="243"/>
    <s v="10/10/2025"/>
    <x v="7"/>
    <x v="11"/>
    <x v="3"/>
    <x v="3"/>
    <x v="0"/>
    <x v="0"/>
    <n v="4806"/>
    <n v="6"/>
    <n v="4.3"/>
    <n v="7"/>
    <x v="1"/>
  </r>
  <r>
    <x v="244"/>
    <s v="24/02/2025"/>
    <x v="6"/>
    <x v="1"/>
    <x v="1"/>
    <x v="5"/>
    <x v="1"/>
    <x v="2"/>
    <n v="10254"/>
    <n v="2"/>
    <n v="3.9"/>
    <n v="8"/>
    <x v="7"/>
  </r>
  <r>
    <x v="245"/>
    <s v="26/07/2025"/>
    <x v="14"/>
    <x v="13"/>
    <x v="4"/>
    <x v="2"/>
    <x v="3"/>
    <x v="2"/>
    <n v="5685"/>
    <n v="3"/>
    <n v="4.4000000000000004"/>
    <n v="1"/>
    <x v="4"/>
  </r>
  <r>
    <x v="246"/>
    <s v="09/06/2025"/>
    <x v="18"/>
    <x v="16"/>
    <x v="2"/>
    <x v="2"/>
    <x v="1"/>
    <x v="2"/>
    <n v="161890"/>
    <n v="5"/>
    <n v="5"/>
    <n v="8"/>
    <x v="9"/>
  </r>
  <r>
    <x v="247"/>
    <s v="19/04/2025"/>
    <x v="3"/>
    <x v="5"/>
    <x v="4"/>
    <x v="1"/>
    <x v="1"/>
    <x v="0"/>
    <n v="16555"/>
    <n v="7"/>
    <n v="4.5999999999999996"/>
    <n v="2"/>
    <x v="2"/>
  </r>
  <r>
    <x v="248"/>
    <s v="30/03/2025"/>
    <x v="19"/>
    <x v="1"/>
    <x v="1"/>
    <x v="2"/>
    <x v="3"/>
    <x v="3"/>
    <n v="33112"/>
    <n v="4"/>
    <n v="3.3"/>
    <n v="6"/>
    <x v="6"/>
  </r>
  <r>
    <x v="249"/>
    <s v="22/11/2025"/>
    <x v="14"/>
    <x v="8"/>
    <x v="1"/>
    <x v="5"/>
    <x v="3"/>
    <x v="1"/>
    <n v="17616"/>
    <n v="2"/>
    <n v="4.3"/>
    <n v="3"/>
    <x v="11"/>
  </r>
  <r>
    <x v="250"/>
    <s v="19/12/2025"/>
    <x v="13"/>
    <x v="13"/>
    <x v="4"/>
    <x v="1"/>
    <x v="0"/>
    <x v="0"/>
    <n v="724"/>
    <n v="2"/>
    <n v="4.7"/>
    <n v="4"/>
    <x v="8"/>
  </r>
  <r>
    <x v="251"/>
    <s v="20/09/2025"/>
    <x v="13"/>
    <x v="12"/>
    <x v="2"/>
    <x v="2"/>
    <x v="3"/>
    <x v="1"/>
    <n v="64640"/>
    <n v="1"/>
    <n v="3.5"/>
    <n v="1"/>
    <x v="5"/>
  </r>
  <r>
    <x v="252"/>
    <s v="28/06/2025"/>
    <x v="6"/>
    <x v="11"/>
    <x v="3"/>
    <x v="0"/>
    <x v="2"/>
    <x v="1"/>
    <n v="25400"/>
    <n v="8"/>
    <n v="4.0999999999999996"/>
    <n v="7"/>
    <x v="9"/>
  </r>
  <r>
    <x v="253"/>
    <s v="02/06/2025"/>
    <x v="11"/>
    <x v="6"/>
    <x v="1"/>
    <x v="1"/>
    <x v="3"/>
    <x v="0"/>
    <n v="22590"/>
    <n v="2"/>
    <n v="3.8"/>
    <n v="5"/>
    <x v="9"/>
  </r>
  <r>
    <x v="254"/>
    <s v="30/01/2025"/>
    <x v="11"/>
    <x v="7"/>
    <x v="4"/>
    <x v="3"/>
    <x v="1"/>
    <x v="3"/>
    <n v="10913"/>
    <n v="7"/>
    <n v="4.0999999999999996"/>
    <n v="5"/>
    <x v="10"/>
  </r>
  <r>
    <x v="255"/>
    <s v="25/06/2025"/>
    <x v="10"/>
    <x v="10"/>
    <x v="0"/>
    <x v="4"/>
    <x v="3"/>
    <x v="2"/>
    <n v="6820"/>
    <n v="4"/>
    <n v="3.7"/>
    <n v="3"/>
    <x v="9"/>
  </r>
  <r>
    <x v="256"/>
    <s v="13/05/2025"/>
    <x v="16"/>
    <x v="18"/>
    <x v="3"/>
    <x v="2"/>
    <x v="3"/>
    <x v="1"/>
    <n v="7560"/>
    <n v="3"/>
    <n v="3.6"/>
    <n v="5"/>
    <x v="0"/>
  </r>
  <r>
    <x v="257"/>
    <s v="26/08/2025"/>
    <x v="12"/>
    <x v="6"/>
    <x v="1"/>
    <x v="0"/>
    <x v="1"/>
    <x v="1"/>
    <n v="21936"/>
    <n v="2"/>
    <n v="3.3"/>
    <n v="4"/>
    <x v="3"/>
  </r>
  <r>
    <x v="258"/>
    <s v="19/03/2025"/>
    <x v="9"/>
    <x v="3"/>
    <x v="3"/>
    <x v="3"/>
    <x v="3"/>
    <x v="0"/>
    <n v="16092"/>
    <n v="3"/>
    <n v="3.5"/>
    <n v="3"/>
    <x v="6"/>
  </r>
  <r>
    <x v="259"/>
    <s v="03/01/2025"/>
    <x v="8"/>
    <x v="14"/>
    <x v="2"/>
    <x v="5"/>
    <x v="1"/>
    <x v="3"/>
    <n v="196792"/>
    <n v="8"/>
    <n v="4.0999999999999996"/>
    <n v="2"/>
    <x v="10"/>
  </r>
  <r>
    <x v="260"/>
    <s v="02/09/2025"/>
    <x v="12"/>
    <x v="11"/>
    <x v="3"/>
    <x v="4"/>
    <x v="2"/>
    <x v="2"/>
    <n v="16331"/>
    <n v="7"/>
    <n v="4.9000000000000004"/>
    <n v="6"/>
    <x v="5"/>
  </r>
  <r>
    <x v="261"/>
    <s v="22/12/2025"/>
    <x v="9"/>
    <x v="7"/>
    <x v="4"/>
    <x v="0"/>
    <x v="3"/>
    <x v="1"/>
    <n v="4668"/>
    <n v="6"/>
    <n v="4.3"/>
    <n v="3"/>
    <x v="8"/>
  </r>
  <r>
    <x v="262"/>
    <s v="11/08/2025"/>
    <x v="0"/>
    <x v="4"/>
    <x v="3"/>
    <x v="4"/>
    <x v="0"/>
    <x v="0"/>
    <n v="6729"/>
    <n v="3"/>
    <n v="4.9000000000000004"/>
    <n v="7"/>
    <x v="3"/>
  </r>
  <r>
    <x v="263"/>
    <s v="29/10/2025"/>
    <x v="4"/>
    <x v="17"/>
    <x v="4"/>
    <x v="0"/>
    <x v="2"/>
    <x v="2"/>
    <n v="5253"/>
    <n v="3"/>
    <n v="3.7"/>
    <n v="1"/>
    <x v="1"/>
  </r>
  <r>
    <x v="264"/>
    <s v="02/08/2025"/>
    <x v="0"/>
    <x v="0"/>
    <x v="0"/>
    <x v="2"/>
    <x v="1"/>
    <x v="2"/>
    <n v="8624"/>
    <n v="8"/>
    <n v="4.5"/>
    <n v="4"/>
    <x v="3"/>
  </r>
  <r>
    <x v="265"/>
    <s v="15/11/2025"/>
    <x v="14"/>
    <x v="6"/>
    <x v="1"/>
    <x v="4"/>
    <x v="0"/>
    <x v="1"/>
    <n v="8184"/>
    <n v="3"/>
    <n v="3.7"/>
    <n v="2"/>
    <x v="11"/>
  </r>
  <r>
    <x v="266"/>
    <s v="03/07/2025"/>
    <x v="18"/>
    <x v="9"/>
    <x v="1"/>
    <x v="4"/>
    <x v="2"/>
    <x v="2"/>
    <n v="62524"/>
    <n v="7"/>
    <n v="4.8"/>
    <n v="8"/>
    <x v="4"/>
  </r>
  <r>
    <x v="267"/>
    <s v="21/10/2025"/>
    <x v="17"/>
    <x v="0"/>
    <x v="0"/>
    <x v="2"/>
    <x v="3"/>
    <x v="3"/>
    <n v="4840"/>
    <n v="8"/>
    <n v="4.8"/>
    <n v="4"/>
    <x v="1"/>
  </r>
  <r>
    <x v="268"/>
    <s v="31/03/2025"/>
    <x v="0"/>
    <x v="0"/>
    <x v="0"/>
    <x v="4"/>
    <x v="0"/>
    <x v="1"/>
    <n v="895"/>
    <n v="1"/>
    <n v="3.4"/>
    <n v="1"/>
    <x v="6"/>
  </r>
  <r>
    <x v="269"/>
    <s v="15/11/2025"/>
    <x v="11"/>
    <x v="12"/>
    <x v="2"/>
    <x v="3"/>
    <x v="1"/>
    <x v="3"/>
    <n v="237105"/>
    <n v="5"/>
    <n v="3.9"/>
    <n v="8"/>
    <x v="11"/>
  </r>
  <r>
    <x v="270"/>
    <s v="09/03/2025"/>
    <x v="1"/>
    <x v="17"/>
    <x v="4"/>
    <x v="5"/>
    <x v="1"/>
    <x v="1"/>
    <n v="674"/>
    <n v="1"/>
    <n v="4.5999999999999996"/>
    <n v="8"/>
    <x v="6"/>
  </r>
  <r>
    <x v="271"/>
    <s v="17/12/2025"/>
    <x v="18"/>
    <x v="1"/>
    <x v="1"/>
    <x v="0"/>
    <x v="0"/>
    <x v="1"/>
    <n v="24060"/>
    <n v="3"/>
    <n v="3.3"/>
    <n v="5"/>
    <x v="8"/>
  </r>
  <r>
    <x v="272"/>
    <s v="10/08/2025"/>
    <x v="0"/>
    <x v="1"/>
    <x v="1"/>
    <x v="1"/>
    <x v="0"/>
    <x v="3"/>
    <n v="39788"/>
    <n v="4"/>
    <n v="4.8"/>
    <n v="1"/>
    <x v="3"/>
  </r>
  <r>
    <x v="273"/>
    <s v="08/02/2025"/>
    <x v="5"/>
    <x v="18"/>
    <x v="3"/>
    <x v="4"/>
    <x v="2"/>
    <x v="3"/>
    <n v="23824"/>
    <n v="8"/>
    <n v="4.0999999999999996"/>
    <n v="7"/>
    <x v="7"/>
  </r>
  <r>
    <x v="274"/>
    <s v="15/02/2025"/>
    <x v="16"/>
    <x v="11"/>
    <x v="3"/>
    <x v="0"/>
    <x v="2"/>
    <x v="2"/>
    <n v="38192"/>
    <n v="8"/>
    <n v="3.2"/>
    <n v="7"/>
    <x v="7"/>
  </r>
  <r>
    <x v="275"/>
    <s v="18/09/2025"/>
    <x v="18"/>
    <x v="6"/>
    <x v="1"/>
    <x v="5"/>
    <x v="1"/>
    <x v="1"/>
    <n v="6756"/>
    <n v="4"/>
    <n v="4.7"/>
    <n v="8"/>
    <x v="5"/>
  </r>
  <r>
    <x v="276"/>
    <s v="19/02/2025"/>
    <x v="7"/>
    <x v="3"/>
    <x v="3"/>
    <x v="0"/>
    <x v="0"/>
    <x v="3"/>
    <n v="23560"/>
    <n v="4"/>
    <n v="4.2"/>
    <n v="6"/>
    <x v="7"/>
  </r>
  <r>
    <x v="277"/>
    <s v="24/02/2025"/>
    <x v="18"/>
    <x v="5"/>
    <x v="4"/>
    <x v="0"/>
    <x v="1"/>
    <x v="2"/>
    <n v="5260"/>
    <n v="5"/>
    <n v="3.6"/>
    <n v="4"/>
    <x v="7"/>
  </r>
  <r>
    <x v="278"/>
    <s v="19/08/2025"/>
    <x v="10"/>
    <x v="1"/>
    <x v="1"/>
    <x v="3"/>
    <x v="1"/>
    <x v="0"/>
    <n v="6968"/>
    <n v="8"/>
    <n v="4.2"/>
    <n v="1"/>
    <x v="3"/>
  </r>
  <r>
    <x v="279"/>
    <s v="07/03/2025"/>
    <x v="11"/>
    <x v="9"/>
    <x v="1"/>
    <x v="3"/>
    <x v="3"/>
    <x v="1"/>
    <n v="15318"/>
    <n v="2"/>
    <n v="5"/>
    <n v="4"/>
    <x v="6"/>
  </r>
  <r>
    <x v="280"/>
    <s v="12/03/2025"/>
    <x v="19"/>
    <x v="18"/>
    <x v="3"/>
    <x v="4"/>
    <x v="3"/>
    <x v="1"/>
    <n v="36309"/>
    <n v="7"/>
    <n v="4.5"/>
    <n v="4"/>
    <x v="6"/>
  </r>
  <r>
    <x v="281"/>
    <s v="15/09/2025"/>
    <x v="10"/>
    <x v="7"/>
    <x v="4"/>
    <x v="2"/>
    <x v="1"/>
    <x v="2"/>
    <n v="4332"/>
    <n v="6"/>
    <n v="4.2"/>
    <n v="7"/>
    <x v="5"/>
  </r>
  <r>
    <x v="282"/>
    <s v="13/01/2025"/>
    <x v="3"/>
    <x v="1"/>
    <x v="1"/>
    <x v="1"/>
    <x v="3"/>
    <x v="0"/>
    <n v="36218"/>
    <n v="7"/>
    <n v="4.5999999999999996"/>
    <n v="3"/>
    <x v="10"/>
  </r>
  <r>
    <x v="283"/>
    <s v="15/04/2025"/>
    <x v="10"/>
    <x v="20"/>
    <x v="0"/>
    <x v="3"/>
    <x v="0"/>
    <x v="1"/>
    <n v="1034"/>
    <n v="1"/>
    <n v="4.5"/>
    <n v="4"/>
    <x v="2"/>
  </r>
  <r>
    <x v="284"/>
    <s v="18/07/2025"/>
    <x v="4"/>
    <x v="15"/>
    <x v="0"/>
    <x v="3"/>
    <x v="0"/>
    <x v="1"/>
    <n v="11921"/>
    <n v="7"/>
    <n v="4.5"/>
    <n v="4"/>
    <x v="4"/>
  </r>
  <r>
    <x v="285"/>
    <s v="10/04/2025"/>
    <x v="5"/>
    <x v="9"/>
    <x v="1"/>
    <x v="0"/>
    <x v="1"/>
    <x v="1"/>
    <n v="18235"/>
    <n v="5"/>
    <n v="4.5"/>
    <n v="2"/>
    <x v="2"/>
  </r>
  <r>
    <x v="286"/>
    <s v="08/03/2025"/>
    <x v="2"/>
    <x v="6"/>
    <x v="1"/>
    <x v="4"/>
    <x v="3"/>
    <x v="2"/>
    <n v="25320"/>
    <n v="3"/>
    <n v="4.5"/>
    <n v="3"/>
    <x v="6"/>
  </r>
  <r>
    <x v="287"/>
    <s v="09/09/2025"/>
    <x v="16"/>
    <x v="6"/>
    <x v="1"/>
    <x v="5"/>
    <x v="1"/>
    <x v="2"/>
    <n v="22872"/>
    <n v="6"/>
    <n v="4.0999999999999996"/>
    <n v="3"/>
    <x v="5"/>
  </r>
  <r>
    <x v="288"/>
    <s v="20/04/2025"/>
    <x v="7"/>
    <x v="2"/>
    <x v="2"/>
    <x v="1"/>
    <x v="3"/>
    <x v="3"/>
    <n v="245874"/>
    <n v="6"/>
    <n v="4.2"/>
    <n v="1"/>
    <x v="2"/>
  </r>
  <r>
    <x v="289"/>
    <s v="21/01/2025"/>
    <x v="12"/>
    <x v="7"/>
    <x v="4"/>
    <x v="2"/>
    <x v="1"/>
    <x v="3"/>
    <n v="4284"/>
    <n v="6"/>
    <n v="4.5"/>
    <n v="1"/>
    <x v="10"/>
  </r>
  <r>
    <x v="290"/>
    <s v="30/11/2025"/>
    <x v="9"/>
    <x v="20"/>
    <x v="0"/>
    <x v="4"/>
    <x v="0"/>
    <x v="3"/>
    <n v="3824"/>
    <n v="4"/>
    <n v="4.9000000000000004"/>
    <n v="1"/>
    <x v="11"/>
  </r>
  <r>
    <x v="291"/>
    <s v="03/10/2025"/>
    <x v="9"/>
    <x v="10"/>
    <x v="0"/>
    <x v="0"/>
    <x v="2"/>
    <x v="0"/>
    <n v="11368"/>
    <n v="7"/>
    <n v="4.5"/>
    <n v="1"/>
    <x v="1"/>
  </r>
  <r>
    <x v="292"/>
    <s v="06/02/2025"/>
    <x v="0"/>
    <x v="19"/>
    <x v="2"/>
    <x v="3"/>
    <x v="2"/>
    <x v="2"/>
    <n v="213440"/>
    <n v="4"/>
    <n v="3.9"/>
    <n v="6"/>
    <x v="7"/>
  </r>
  <r>
    <x v="293"/>
    <s v="27/10/2025"/>
    <x v="4"/>
    <x v="1"/>
    <x v="1"/>
    <x v="0"/>
    <x v="3"/>
    <x v="3"/>
    <n v="2538"/>
    <n v="1"/>
    <n v="3.7"/>
    <n v="5"/>
    <x v="1"/>
  </r>
  <r>
    <x v="294"/>
    <s v="05/12/2025"/>
    <x v="8"/>
    <x v="11"/>
    <x v="3"/>
    <x v="2"/>
    <x v="3"/>
    <x v="2"/>
    <n v="2501"/>
    <n v="1"/>
    <n v="4.5"/>
    <n v="5"/>
    <x v="8"/>
  </r>
  <r>
    <x v="295"/>
    <s v="05/03/2025"/>
    <x v="19"/>
    <x v="9"/>
    <x v="1"/>
    <x v="3"/>
    <x v="0"/>
    <x v="0"/>
    <n v="2194"/>
    <n v="1"/>
    <n v="3.7"/>
    <n v="6"/>
    <x v="6"/>
  </r>
  <r>
    <x v="296"/>
    <s v="12/11/2025"/>
    <x v="10"/>
    <x v="7"/>
    <x v="4"/>
    <x v="0"/>
    <x v="3"/>
    <x v="2"/>
    <n v="3595"/>
    <n v="5"/>
    <n v="4.7"/>
    <n v="8"/>
    <x v="11"/>
  </r>
  <r>
    <x v="297"/>
    <s v="12/04/2025"/>
    <x v="19"/>
    <x v="14"/>
    <x v="2"/>
    <x v="2"/>
    <x v="1"/>
    <x v="3"/>
    <n v="154440"/>
    <n v="8"/>
    <n v="3.7"/>
    <n v="2"/>
    <x v="2"/>
  </r>
  <r>
    <x v="298"/>
    <s v="04/12/2025"/>
    <x v="1"/>
    <x v="19"/>
    <x v="2"/>
    <x v="0"/>
    <x v="3"/>
    <x v="0"/>
    <n v="383140"/>
    <n v="5"/>
    <n v="4.7"/>
    <n v="7"/>
    <x v="8"/>
  </r>
  <r>
    <x v="299"/>
    <s v="22/05/2025"/>
    <x v="14"/>
    <x v="5"/>
    <x v="4"/>
    <x v="5"/>
    <x v="2"/>
    <x v="0"/>
    <n v="9648"/>
    <n v="6"/>
    <n v="3.8"/>
    <n v="5"/>
    <x v="0"/>
  </r>
  <r>
    <x v="300"/>
    <s v="24/05/2025"/>
    <x v="12"/>
    <x v="1"/>
    <x v="1"/>
    <x v="1"/>
    <x v="2"/>
    <x v="3"/>
    <n v="6156"/>
    <n v="3"/>
    <n v="4.5"/>
    <n v="1"/>
    <x v="0"/>
  </r>
  <r>
    <x v="301"/>
    <s v="19/01/2025"/>
    <x v="8"/>
    <x v="9"/>
    <x v="1"/>
    <x v="3"/>
    <x v="2"/>
    <x v="3"/>
    <n v="33965"/>
    <n v="5"/>
    <n v="3.9"/>
    <n v="5"/>
    <x v="10"/>
  </r>
  <r>
    <x v="302"/>
    <s v="06/01/2025"/>
    <x v="14"/>
    <x v="19"/>
    <x v="2"/>
    <x v="2"/>
    <x v="2"/>
    <x v="0"/>
    <n v="279552"/>
    <n v="4"/>
    <n v="3.5"/>
    <n v="3"/>
    <x v="10"/>
  </r>
  <r>
    <x v="303"/>
    <s v="02/02/2025"/>
    <x v="5"/>
    <x v="18"/>
    <x v="3"/>
    <x v="3"/>
    <x v="1"/>
    <x v="2"/>
    <n v="11965"/>
    <n v="5"/>
    <n v="4.8"/>
    <n v="6"/>
    <x v="7"/>
  </r>
  <r>
    <x v="304"/>
    <s v="22/02/2025"/>
    <x v="6"/>
    <x v="20"/>
    <x v="0"/>
    <x v="1"/>
    <x v="2"/>
    <x v="1"/>
    <n v="4195"/>
    <n v="5"/>
    <n v="4.4000000000000004"/>
    <n v="6"/>
    <x v="7"/>
  </r>
  <r>
    <x v="305"/>
    <s v="22/09/2025"/>
    <x v="17"/>
    <x v="18"/>
    <x v="3"/>
    <x v="4"/>
    <x v="0"/>
    <x v="2"/>
    <n v="32543"/>
    <n v="7"/>
    <n v="3.2"/>
    <n v="3"/>
    <x v="5"/>
  </r>
  <r>
    <x v="306"/>
    <s v="19/04/2025"/>
    <x v="18"/>
    <x v="6"/>
    <x v="1"/>
    <x v="1"/>
    <x v="2"/>
    <x v="3"/>
    <n v="8214"/>
    <n v="3"/>
    <n v="4.4000000000000004"/>
    <n v="7"/>
    <x v="2"/>
  </r>
  <r>
    <x v="307"/>
    <s v="18/04/2025"/>
    <x v="8"/>
    <x v="11"/>
    <x v="3"/>
    <x v="1"/>
    <x v="2"/>
    <x v="0"/>
    <n v="8088"/>
    <n v="3"/>
    <n v="3.4"/>
    <n v="3"/>
    <x v="2"/>
  </r>
  <r>
    <x v="308"/>
    <s v="13/05/2025"/>
    <x v="9"/>
    <x v="10"/>
    <x v="0"/>
    <x v="4"/>
    <x v="1"/>
    <x v="3"/>
    <n v="4074"/>
    <n v="3"/>
    <n v="3.2"/>
    <n v="5"/>
    <x v="0"/>
  </r>
  <r>
    <x v="309"/>
    <s v="23/04/2025"/>
    <x v="1"/>
    <x v="18"/>
    <x v="3"/>
    <x v="1"/>
    <x v="3"/>
    <x v="3"/>
    <n v="15323"/>
    <n v="7"/>
    <n v="4.4000000000000004"/>
    <n v="5"/>
    <x v="2"/>
  </r>
  <r>
    <x v="310"/>
    <s v="28/04/2025"/>
    <x v="8"/>
    <x v="1"/>
    <x v="1"/>
    <x v="5"/>
    <x v="2"/>
    <x v="0"/>
    <n v="28805"/>
    <n v="7"/>
    <n v="4.0999999999999996"/>
    <n v="7"/>
    <x v="2"/>
  </r>
  <r>
    <x v="311"/>
    <s v="30/09/2025"/>
    <x v="12"/>
    <x v="3"/>
    <x v="3"/>
    <x v="3"/>
    <x v="3"/>
    <x v="2"/>
    <n v="11286"/>
    <n v="2"/>
    <n v="4.7"/>
    <n v="7"/>
    <x v="5"/>
  </r>
  <r>
    <x v="312"/>
    <s v="28/04/2025"/>
    <x v="14"/>
    <x v="8"/>
    <x v="1"/>
    <x v="4"/>
    <x v="2"/>
    <x v="1"/>
    <n v="19200"/>
    <n v="8"/>
    <n v="4"/>
    <n v="5"/>
    <x v="2"/>
  </r>
  <r>
    <x v="313"/>
    <s v="12/05/2025"/>
    <x v="19"/>
    <x v="8"/>
    <x v="1"/>
    <x v="1"/>
    <x v="3"/>
    <x v="3"/>
    <n v="10920"/>
    <n v="4"/>
    <n v="4.0999999999999996"/>
    <n v="7"/>
    <x v="0"/>
  </r>
  <r>
    <x v="314"/>
    <s v="21/03/2025"/>
    <x v="5"/>
    <x v="14"/>
    <x v="2"/>
    <x v="4"/>
    <x v="1"/>
    <x v="3"/>
    <n v="257243"/>
    <n v="7"/>
    <n v="4.2"/>
    <n v="5"/>
    <x v="6"/>
  </r>
  <r>
    <x v="315"/>
    <s v="14/10/2025"/>
    <x v="13"/>
    <x v="13"/>
    <x v="4"/>
    <x v="3"/>
    <x v="0"/>
    <x v="2"/>
    <n v="12048"/>
    <n v="8"/>
    <n v="4.5"/>
    <n v="2"/>
    <x v="1"/>
  </r>
  <r>
    <x v="316"/>
    <s v="23/06/2025"/>
    <x v="9"/>
    <x v="5"/>
    <x v="4"/>
    <x v="0"/>
    <x v="3"/>
    <x v="0"/>
    <n v="1843"/>
    <n v="1"/>
    <n v="4"/>
    <n v="7"/>
    <x v="9"/>
  </r>
  <r>
    <x v="317"/>
    <s v="08/11/2025"/>
    <x v="1"/>
    <x v="14"/>
    <x v="2"/>
    <x v="1"/>
    <x v="1"/>
    <x v="3"/>
    <n v="55013"/>
    <n v="1"/>
    <n v="4.0999999999999996"/>
    <n v="1"/>
    <x v="11"/>
  </r>
  <r>
    <x v="318"/>
    <s v="03/12/2025"/>
    <x v="2"/>
    <x v="10"/>
    <x v="0"/>
    <x v="2"/>
    <x v="0"/>
    <x v="2"/>
    <n v="3490"/>
    <n v="5"/>
    <n v="4.5"/>
    <n v="3"/>
    <x v="8"/>
  </r>
  <r>
    <x v="319"/>
    <s v="22/05/2025"/>
    <x v="9"/>
    <x v="17"/>
    <x v="4"/>
    <x v="5"/>
    <x v="3"/>
    <x v="1"/>
    <n v="13076"/>
    <n v="7"/>
    <n v="4.0999999999999996"/>
    <n v="2"/>
    <x v="0"/>
  </r>
  <r>
    <x v="320"/>
    <s v="26/04/2025"/>
    <x v="10"/>
    <x v="16"/>
    <x v="2"/>
    <x v="0"/>
    <x v="3"/>
    <x v="1"/>
    <n v="311416"/>
    <n v="4"/>
    <n v="3.5"/>
    <n v="2"/>
    <x v="2"/>
  </r>
  <r>
    <x v="321"/>
    <s v="03/10/2025"/>
    <x v="17"/>
    <x v="20"/>
    <x v="0"/>
    <x v="1"/>
    <x v="1"/>
    <x v="2"/>
    <n v="8605"/>
    <n v="5"/>
    <n v="4.5999999999999996"/>
    <n v="6"/>
    <x v="1"/>
  </r>
  <r>
    <x v="322"/>
    <s v="13/05/2025"/>
    <x v="11"/>
    <x v="3"/>
    <x v="3"/>
    <x v="4"/>
    <x v="3"/>
    <x v="2"/>
    <n v="6572"/>
    <n v="2"/>
    <n v="4.9000000000000004"/>
    <n v="1"/>
    <x v="0"/>
  </r>
  <r>
    <x v="323"/>
    <s v="08/02/2025"/>
    <x v="14"/>
    <x v="4"/>
    <x v="3"/>
    <x v="1"/>
    <x v="0"/>
    <x v="0"/>
    <n v="7470"/>
    <n v="3"/>
    <n v="3.7"/>
    <n v="4"/>
    <x v="7"/>
  </r>
  <r>
    <x v="324"/>
    <s v="16/04/2025"/>
    <x v="9"/>
    <x v="13"/>
    <x v="4"/>
    <x v="1"/>
    <x v="1"/>
    <x v="2"/>
    <n v="5088"/>
    <n v="4"/>
    <n v="4.5999999999999996"/>
    <n v="2"/>
    <x v="2"/>
  </r>
  <r>
    <x v="325"/>
    <s v="04/09/2025"/>
    <x v="5"/>
    <x v="1"/>
    <x v="1"/>
    <x v="4"/>
    <x v="0"/>
    <x v="2"/>
    <n v="31806"/>
    <n v="6"/>
    <n v="4.0999999999999996"/>
    <n v="5"/>
    <x v="5"/>
  </r>
  <r>
    <x v="326"/>
    <s v="02/09/2025"/>
    <x v="18"/>
    <x v="8"/>
    <x v="1"/>
    <x v="1"/>
    <x v="2"/>
    <x v="2"/>
    <n v="8290"/>
    <n v="1"/>
    <n v="5"/>
    <n v="8"/>
    <x v="5"/>
  </r>
  <r>
    <x v="327"/>
    <s v="25/10/2025"/>
    <x v="11"/>
    <x v="5"/>
    <x v="4"/>
    <x v="3"/>
    <x v="3"/>
    <x v="1"/>
    <n v="3462"/>
    <n v="2"/>
    <n v="4.2"/>
    <n v="4"/>
    <x v="1"/>
  </r>
  <r>
    <x v="328"/>
    <s v="06/08/2025"/>
    <x v="6"/>
    <x v="5"/>
    <x v="4"/>
    <x v="1"/>
    <x v="0"/>
    <x v="2"/>
    <n v="7096"/>
    <n v="4"/>
    <n v="4"/>
    <n v="3"/>
    <x v="3"/>
  </r>
  <r>
    <x v="329"/>
    <s v="12/10/2025"/>
    <x v="16"/>
    <x v="2"/>
    <x v="2"/>
    <x v="3"/>
    <x v="0"/>
    <x v="1"/>
    <n v="151312"/>
    <n v="7"/>
    <n v="4.7"/>
    <n v="3"/>
    <x v="1"/>
  </r>
  <r>
    <x v="330"/>
    <s v="09/05/2025"/>
    <x v="7"/>
    <x v="4"/>
    <x v="3"/>
    <x v="3"/>
    <x v="3"/>
    <x v="1"/>
    <n v="1191"/>
    <n v="1"/>
    <n v="4.7"/>
    <n v="8"/>
    <x v="0"/>
  </r>
  <r>
    <x v="331"/>
    <s v="14/10/2025"/>
    <x v="6"/>
    <x v="16"/>
    <x v="2"/>
    <x v="5"/>
    <x v="0"/>
    <x v="1"/>
    <n v="282350"/>
    <n v="5"/>
    <n v="4.8"/>
    <n v="4"/>
    <x v="1"/>
  </r>
  <r>
    <x v="332"/>
    <s v="11/12/2025"/>
    <x v="1"/>
    <x v="16"/>
    <x v="2"/>
    <x v="1"/>
    <x v="3"/>
    <x v="3"/>
    <n v="419576"/>
    <n v="8"/>
    <n v="4"/>
    <n v="3"/>
    <x v="8"/>
  </r>
  <r>
    <x v="333"/>
    <s v="06/02/2025"/>
    <x v="4"/>
    <x v="8"/>
    <x v="1"/>
    <x v="1"/>
    <x v="1"/>
    <x v="1"/>
    <n v="11982"/>
    <n v="2"/>
    <n v="4.4000000000000004"/>
    <n v="5"/>
    <x v="7"/>
  </r>
  <r>
    <x v="334"/>
    <s v="28/10/2025"/>
    <x v="9"/>
    <x v="4"/>
    <x v="3"/>
    <x v="4"/>
    <x v="0"/>
    <x v="3"/>
    <n v="7112"/>
    <n v="8"/>
    <n v="4.5"/>
    <n v="5"/>
    <x v="1"/>
  </r>
  <r>
    <x v="335"/>
    <s v="02/02/2025"/>
    <x v="7"/>
    <x v="0"/>
    <x v="0"/>
    <x v="2"/>
    <x v="0"/>
    <x v="2"/>
    <n v="11384"/>
    <n v="8"/>
    <n v="4.5999999999999996"/>
    <n v="2"/>
    <x v="7"/>
  </r>
  <r>
    <x v="336"/>
    <s v="28/04/2025"/>
    <x v="0"/>
    <x v="4"/>
    <x v="3"/>
    <x v="0"/>
    <x v="3"/>
    <x v="1"/>
    <n v="6940"/>
    <n v="4"/>
    <n v="4.0999999999999996"/>
    <n v="3"/>
    <x v="2"/>
  </r>
  <r>
    <x v="337"/>
    <s v="04/10/2025"/>
    <x v="6"/>
    <x v="11"/>
    <x v="3"/>
    <x v="3"/>
    <x v="3"/>
    <x v="1"/>
    <n v="25585"/>
    <n v="5"/>
    <n v="4.3"/>
    <n v="8"/>
    <x v="1"/>
  </r>
  <r>
    <x v="338"/>
    <s v="15/02/2025"/>
    <x v="12"/>
    <x v="18"/>
    <x v="3"/>
    <x v="4"/>
    <x v="3"/>
    <x v="1"/>
    <n v="22624"/>
    <n v="8"/>
    <n v="3.7"/>
    <n v="1"/>
    <x v="7"/>
  </r>
  <r>
    <x v="339"/>
    <s v="19/12/2025"/>
    <x v="10"/>
    <x v="3"/>
    <x v="3"/>
    <x v="2"/>
    <x v="0"/>
    <x v="3"/>
    <n v="33808"/>
    <n v="8"/>
    <n v="4.3"/>
    <n v="1"/>
    <x v="8"/>
  </r>
  <r>
    <x v="340"/>
    <s v="22/07/2025"/>
    <x v="12"/>
    <x v="8"/>
    <x v="1"/>
    <x v="5"/>
    <x v="3"/>
    <x v="1"/>
    <n v="20432"/>
    <n v="4"/>
    <n v="3.3"/>
    <n v="4"/>
    <x v="4"/>
  </r>
  <r>
    <x v="341"/>
    <s v="31/07/2025"/>
    <x v="11"/>
    <x v="6"/>
    <x v="1"/>
    <x v="1"/>
    <x v="1"/>
    <x v="0"/>
    <n v="10432"/>
    <n v="4"/>
    <n v="4.3"/>
    <n v="8"/>
    <x v="4"/>
  </r>
  <r>
    <x v="342"/>
    <s v="19/03/2025"/>
    <x v="0"/>
    <x v="14"/>
    <x v="2"/>
    <x v="4"/>
    <x v="2"/>
    <x v="0"/>
    <n v="26871"/>
    <n v="1"/>
    <n v="3.7"/>
    <n v="8"/>
    <x v="6"/>
  </r>
  <r>
    <x v="343"/>
    <s v="22/04/2025"/>
    <x v="18"/>
    <x v="15"/>
    <x v="0"/>
    <x v="0"/>
    <x v="0"/>
    <x v="2"/>
    <n v="6960"/>
    <n v="6"/>
    <n v="4.5"/>
    <n v="1"/>
    <x v="2"/>
  </r>
  <r>
    <x v="344"/>
    <s v="06/02/2025"/>
    <x v="5"/>
    <x v="12"/>
    <x v="2"/>
    <x v="3"/>
    <x v="0"/>
    <x v="2"/>
    <n v="282224"/>
    <n v="8"/>
    <n v="3.4"/>
    <n v="4"/>
    <x v="7"/>
  </r>
  <r>
    <x v="345"/>
    <s v="18/02/2025"/>
    <x v="10"/>
    <x v="5"/>
    <x v="4"/>
    <x v="5"/>
    <x v="2"/>
    <x v="1"/>
    <n v="7372"/>
    <n v="4"/>
    <n v="4.3"/>
    <n v="1"/>
    <x v="7"/>
  </r>
  <r>
    <x v="346"/>
    <s v="12/04/2025"/>
    <x v="1"/>
    <x v="4"/>
    <x v="3"/>
    <x v="2"/>
    <x v="2"/>
    <x v="3"/>
    <n v="15798"/>
    <n v="6"/>
    <n v="4"/>
    <n v="1"/>
    <x v="2"/>
  </r>
  <r>
    <x v="347"/>
    <s v="22/01/2025"/>
    <x v="4"/>
    <x v="17"/>
    <x v="4"/>
    <x v="2"/>
    <x v="2"/>
    <x v="2"/>
    <n v="7072"/>
    <n v="8"/>
    <n v="3.5"/>
    <n v="2"/>
    <x v="10"/>
  </r>
  <r>
    <x v="348"/>
    <s v="26/12/2025"/>
    <x v="17"/>
    <x v="2"/>
    <x v="2"/>
    <x v="1"/>
    <x v="0"/>
    <x v="2"/>
    <n v="65994"/>
    <n v="2"/>
    <n v="4.5999999999999996"/>
    <n v="6"/>
    <x v="8"/>
  </r>
  <r>
    <x v="349"/>
    <s v="10/03/2025"/>
    <x v="19"/>
    <x v="4"/>
    <x v="3"/>
    <x v="5"/>
    <x v="0"/>
    <x v="1"/>
    <n v="26395"/>
    <n v="5"/>
    <n v="4.2"/>
    <n v="8"/>
    <x v="6"/>
  </r>
  <r>
    <x v="350"/>
    <s v="21/05/2025"/>
    <x v="17"/>
    <x v="12"/>
    <x v="2"/>
    <x v="0"/>
    <x v="1"/>
    <x v="0"/>
    <n v="68457"/>
    <n v="3"/>
    <n v="4.7"/>
    <n v="6"/>
    <x v="0"/>
  </r>
  <r>
    <x v="351"/>
    <s v="14/11/2025"/>
    <x v="10"/>
    <x v="20"/>
    <x v="0"/>
    <x v="4"/>
    <x v="3"/>
    <x v="1"/>
    <n v="3824"/>
    <n v="4"/>
    <n v="4.0999999999999996"/>
    <n v="8"/>
    <x v="11"/>
  </r>
  <r>
    <x v="352"/>
    <s v="26/02/2025"/>
    <x v="7"/>
    <x v="4"/>
    <x v="3"/>
    <x v="3"/>
    <x v="0"/>
    <x v="2"/>
    <n v="3526"/>
    <n v="2"/>
    <n v="4.8"/>
    <n v="4"/>
    <x v="7"/>
  </r>
  <r>
    <x v="353"/>
    <s v="03/12/2025"/>
    <x v="0"/>
    <x v="15"/>
    <x v="0"/>
    <x v="4"/>
    <x v="1"/>
    <x v="2"/>
    <n v="11008"/>
    <n v="8"/>
    <n v="4.3"/>
    <n v="2"/>
    <x v="8"/>
  </r>
  <r>
    <x v="354"/>
    <s v="04/07/2025"/>
    <x v="3"/>
    <x v="3"/>
    <x v="3"/>
    <x v="0"/>
    <x v="0"/>
    <x v="2"/>
    <n v="20139"/>
    <n v="7"/>
    <n v="3.3"/>
    <n v="2"/>
    <x v="4"/>
  </r>
  <r>
    <x v="355"/>
    <s v="30/09/2025"/>
    <x v="10"/>
    <x v="10"/>
    <x v="0"/>
    <x v="1"/>
    <x v="1"/>
    <x v="2"/>
    <n v="4816"/>
    <n v="7"/>
    <n v="4.3"/>
    <n v="3"/>
    <x v="5"/>
  </r>
  <r>
    <x v="356"/>
    <s v="12/12/2025"/>
    <x v="1"/>
    <x v="6"/>
    <x v="1"/>
    <x v="5"/>
    <x v="1"/>
    <x v="1"/>
    <n v="30040"/>
    <n v="8"/>
    <n v="4.2"/>
    <n v="6"/>
    <x v="8"/>
  </r>
  <r>
    <x v="357"/>
    <s v="16/06/2025"/>
    <x v="5"/>
    <x v="19"/>
    <x v="2"/>
    <x v="5"/>
    <x v="3"/>
    <x v="1"/>
    <n v="269370"/>
    <n v="6"/>
    <n v="4.2"/>
    <n v="4"/>
    <x v="9"/>
  </r>
  <r>
    <x v="358"/>
    <s v="23/07/2025"/>
    <x v="0"/>
    <x v="11"/>
    <x v="3"/>
    <x v="2"/>
    <x v="0"/>
    <x v="0"/>
    <n v="5580"/>
    <n v="1"/>
    <n v="4.0999999999999996"/>
    <n v="5"/>
    <x v="4"/>
  </r>
  <r>
    <x v="359"/>
    <s v="20/12/2025"/>
    <x v="17"/>
    <x v="14"/>
    <x v="2"/>
    <x v="2"/>
    <x v="0"/>
    <x v="0"/>
    <n v="377090"/>
    <n v="5"/>
    <n v="3.5"/>
    <n v="1"/>
    <x v="8"/>
  </r>
  <r>
    <x v="360"/>
    <s v="26/10/2025"/>
    <x v="9"/>
    <x v="16"/>
    <x v="2"/>
    <x v="1"/>
    <x v="3"/>
    <x v="3"/>
    <n v="167444"/>
    <n v="4"/>
    <n v="3.9"/>
    <n v="4"/>
    <x v="1"/>
  </r>
  <r>
    <x v="361"/>
    <s v="20/12/2025"/>
    <x v="18"/>
    <x v="5"/>
    <x v="4"/>
    <x v="2"/>
    <x v="1"/>
    <x v="3"/>
    <n v="2960"/>
    <n v="2"/>
    <n v="3.3"/>
    <n v="1"/>
    <x v="8"/>
  </r>
  <r>
    <x v="362"/>
    <s v="01/12/2025"/>
    <x v="18"/>
    <x v="10"/>
    <x v="0"/>
    <x v="5"/>
    <x v="0"/>
    <x v="0"/>
    <n v="1598"/>
    <n v="1"/>
    <n v="3.3"/>
    <n v="3"/>
    <x v="8"/>
  </r>
  <r>
    <x v="363"/>
    <s v="17/08/2025"/>
    <x v="14"/>
    <x v="15"/>
    <x v="0"/>
    <x v="5"/>
    <x v="2"/>
    <x v="3"/>
    <n v="1508"/>
    <n v="2"/>
    <n v="3.4"/>
    <n v="2"/>
    <x v="3"/>
  </r>
  <r>
    <x v="364"/>
    <s v="24/07/2025"/>
    <x v="6"/>
    <x v="14"/>
    <x v="2"/>
    <x v="4"/>
    <x v="0"/>
    <x v="0"/>
    <n v="141239"/>
    <n v="7"/>
    <n v="3.6"/>
    <n v="7"/>
    <x v="4"/>
  </r>
  <r>
    <x v="365"/>
    <s v="09/08/2025"/>
    <x v="18"/>
    <x v="20"/>
    <x v="0"/>
    <x v="2"/>
    <x v="2"/>
    <x v="1"/>
    <n v="10212"/>
    <n v="6"/>
    <n v="3.9"/>
    <n v="4"/>
    <x v="3"/>
  </r>
  <r>
    <x v="366"/>
    <s v="12/11/2025"/>
    <x v="8"/>
    <x v="13"/>
    <x v="4"/>
    <x v="1"/>
    <x v="2"/>
    <x v="2"/>
    <n v="6776"/>
    <n v="8"/>
    <n v="3.6"/>
    <n v="6"/>
    <x v="11"/>
  </r>
  <r>
    <x v="367"/>
    <s v="14/11/2025"/>
    <x v="18"/>
    <x v="10"/>
    <x v="0"/>
    <x v="4"/>
    <x v="0"/>
    <x v="0"/>
    <n v="2667"/>
    <n v="3"/>
    <n v="4"/>
    <n v="1"/>
    <x v="11"/>
  </r>
  <r>
    <x v="368"/>
    <s v="08/10/2025"/>
    <x v="11"/>
    <x v="6"/>
    <x v="1"/>
    <x v="4"/>
    <x v="2"/>
    <x v="1"/>
    <n v="82808"/>
    <n v="8"/>
    <n v="4.8"/>
    <n v="1"/>
    <x v="1"/>
  </r>
  <r>
    <x v="369"/>
    <s v="28/01/2025"/>
    <x v="7"/>
    <x v="13"/>
    <x v="4"/>
    <x v="0"/>
    <x v="3"/>
    <x v="3"/>
    <n v="2272"/>
    <n v="8"/>
    <n v="3.7"/>
    <n v="6"/>
    <x v="10"/>
  </r>
  <r>
    <x v="370"/>
    <s v="18/09/2025"/>
    <x v="10"/>
    <x v="5"/>
    <x v="4"/>
    <x v="1"/>
    <x v="2"/>
    <x v="2"/>
    <n v="4470"/>
    <n v="2"/>
    <n v="3.5"/>
    <n v="8"/>
    <x v="5"/>
  </r>
  <r>
    <x v="371"/>
    <s v="20/06/2025"/>
    <x v="13"/>
    <x v="13"/>
    <x v="4"/>
    <x v="5"/>
    <x v="3"/>
    <x v="2"/>
    <n v="7144"/>
    <n v="8"/>
    <n v="3.8"/>
    <n v="5"/>
    <x v="9"/>
  </r>
  <r>
    <x v="372"/>
    <s v="16/01/2025"/>
    <x v="12"/>
    <x v="12"/>
    <x v="2"/>
    <x v="1"/>
    <x v="0"/>
    <x v="3"/>
    <n v="236490"/>
    <n v="5"/>
    <n v="3.4"/>
    <n v="7"/>
    <x v="10"/>
  </r>
  <r>
    <x v="373"/>
    <s v="07/08/2025"/>
    <x v="6"/>
    <x v="7"/>
    <x v="4"/>
    <x v="5"/>
    <x v="0"/>
    <x v="0"/>
    <n v="7990"/>
    <n v="5"/>
    <n v="3.6"/>
    <n v="3"/>
    <x v="3"/>
  </r>
  <r>
    <x v="374"/>
    <s v="11/03/2025"/>
    <x v="1"/>
    <x v="19"/>
    <x v="2"/>
    <x v="2"/>
    <x v="0"/>
    <x v="2"/>
    <n v="308798"/>
    <n v="7"/>
    <n v="4.2"/>
    <n v="2"/>
    <x v="6"/>
  </r>
  <r>
    <x v="375"/>
    <s v="30/07/2025"/>
    <x v="4"/>
    <x v="12"/>
    <x v="2"/>
    <x v="5"/>
    <x v="3"/>
    <x v="0"/>
    <n v="112085"/>
    <n v="5"/>
    <n v="3.4"/>
    <n v="1"/>
    <x v="4"/>
  </r>
  <r>
    <x v="376"/>
    <s v="29/04/2025"/>
    <x v="15"/>
    <x v="9"/>
    <x v="1"/>
    <x v="4"/>
    <x v="1"/>
    <x v="3"/>
    <n v="9030"/>
    <n v="1"/>
    <n v="4.7"/>
    <n v="8"/>
    <x v="2"/>
  </r>
  <r>
    <x v="377"/>
    <s v="25/03/2025"/>
    <x v="19"/>
    <x v="18"/>
    <x v="3"/>
    <x v="4"/>
    <x v="2"/>
    <x v="0"/>
    <n v="3288"/>
    <n v="4"/>
    <n v="4.9000000000000004"/>
    <n v="4"/>
    <x v="6"/>
  </r>
  <r>
    <x v="378"/>
    <s v="19/12/2025"/>
    <x v="18"/>
    <x v="11"/>
    <x v="3"/>
    <x v="3"/>
    <x v="2"/>
    <x v="2"/>
    <n v="24096"/>
    <n v="6"/>
    <n v="4.3"/>
    <n v="7"/>
    <x v="8"/>
  </r>
  <r>
    <x v="379"/>
    <s v="22/01/2025"/>
    <x v="19"/>
    <x v="11"/>
    <x v="3"/>
    <x v="2"/>
    <x v="1"/>
    <x v="3"/>
    <n v="4084"/>
    <n v="4"/>
    <n v="3.9"/>
    <n v="1"/>
    <x v="10"/>
  </r>
  <r>
    <x v="380"/>
    <s v="25/08/2025"/>
    <x v="17"/>
    <x v="16"/>
    <x v="2"/>
    <x v="0"/>
    <x v="2"/>
    <x v="0"/>
    <n v="248592"/>
    <n v="3"/>
    <n v="4.8"/>
    <n v="8"/>
    <x v="3"/>
  </r>
  <r>
    <x v="381"/>
    <s v="21/07/2025"/>
    <x v="17"/>
    <x v="9"/>
    <x v="1"/>
    <x v="0"/>
    <x v="3"/>
    <x v="1"/>
    <n v="57631"/>
    <n v="7"/>
    <n v="4.3"/>
    <n v="4"/>
    <x v="4"/>
  </r>
  <r>
    <x v="382"/>
    <s v="16/02/2025"/>
    <x v="5"/>
    <x v="17"/>
    <x v="4"/>
    <x v="5"/>
    <x v="1"/>
    <x v="2"/>
    <n v="4180"/>
    <n v="2"/>
    <n v="4.5"/>
    <n v="3"/>
    <x v="7"/>
  </r>
  <r>
    <x v="383"/>
    <s v="17/10/2025"/>
    <x v="3"/>
    <x v="13"/>
    <x v="4"/>
    <x v="1"/>
    <x v="0"/>
    <x v="2"/>
    <n v="2526"/>
    <n v="3"/>
    <n v="3.8"/>
    <n v="8"/>
    <x v="1"/>
  </r>
  <r>
    <x v="384"/>
    <s v="02/01/2025"/>
    <x v="13"/>
    <x v="7"/>
    <x v="4"/>
    <x v="4"/>
    <x v="1"/>
    <x v="3"/>
    <n v="10640"/>
    <n v="5"/>
    <n v="4.7"/>
    <n v="8"/>
    <x v="10"/>
  </r>
  <r>
    <x v="385"/>
    <s v="10/02/2025"/>
    <x v="2"/>
    <x v="11"/>
    <x v="3"/>
    <x v="4"/>
    <x v="0"/>
    <x v="2"/>
    <n v="5777"/>
    <n v="1"/>
    <n v="4.2"/>
    <n v="4"/>
    <x v="7"/>
  </r>
  <r>
    <x v="386"/>
    <s v="16/03/2025"/>
    <x v="1"/>
    <x v="14"/>
    <x v="2"/>
    <x v="1"/>
    <x v="3"/>
    <x v="0"/>
    <n v="45899"/>
    <n v="1"/>
    <n v="3.4"/>
    <n v="3"/>
    <x v="6"/>
  </r>
  <r>
    <x v="387"/>
    <s v="19/01/2025"/>
    <x v="3"/>
    <x v="4"/>
    <x v="3"/>
    <x v="3"/>
    <x v="0"/>
    <x v="2"/>
    <n v="7608"/>
    <n v="2"/>
    <n v="4.5999999999999996"/>
    <n v="2"/>
    <x v="10"/>
  </r>
  <r>
    <x v="388"/>
    <s v="27/09/2025"/>
    <x v="14"/>
    <x v="16"/>
    <x v="2"/>
    <x v="1"/>
    <x v="3"/>
    <x v="3"/>
    <n v="209300"/>
    <n v="7"/>
    <n v="3.4"/>
    <n v="2"/>
    <x v="5"/>
  </r>
  <r>
    <x v="389"/>
    <s v="13/05/2025"/>
    <x v="4"/>
    <x v="6"/>
    <x v="1"/>
    <x v="4"/>
    <x v="3"/>
    <x v="0"/>
    <n v="53724"/>
    <n v="6"/>
    <n v="4.0999999999999996"/>
    <n v="3"/>
    <x v="0"/>
  </r>
  <r>
    <x v="390"/>
    <s v="13/01/2025"/>
    <x v="15"/>
    <x v="0"/>
    <x v="0"/>
    <x v="5"/>
    <x v="0"/>
    <x v="2"/>
    <n v="12640"/>
    <n v="8"/>
    <n v="3.9"/>
    <n v="6"/>
    <x v="10"/>
  </r>
  <r>
    <x v="391"/>
    <s v="11/05/2025"/>
    <x v="18"/>
    <x v="13"/>
    <x v="4"/>
    <x v="2"/>
    <x v="1"/>
    <x v="2"/>
    <n v="2958"/>
    <n v="2"/>
    <n v="4.5999999999999996"/>
    <n v="2"/>
    <x v="0"/>
  </r>
  <r>
    <x v="392"/>
    <s v="19/06/2025"/>
    <x v="17"/>
    <x v="7"/>
    <x v="4"/>
    <x v="5"/>
    <x v="3"/>
    <x v="3"/>
    <n v="13272"/>
    <n v="6"/>
    <n v="3.4"/>
    <n v="3"/>
    <x v="9"/>
  </r>
  <r>
    <x v="393"/>
    <s v="24/09/2025"/>
    <x v="15"/>
    <x v="3"/>
    <x v="3"/>
    <x v="0"/>
    <x v="0"/>
    <x v="1"/>
    <n v="25445"/>
    <n v="5"/>
    <n v="3.6"/>
    <n v="6"/>
    <x v="5"/>
  </r>
  <r>
    <x v="394"/>
    <s v="12/07/2025"/>
    <x v="18"/>
    <x v="20"/>
    <x v="0"/>
    <x v="1"/>
    <x v="2"/>
    <x v="1"/>
    <n v="4407"/>
    <n v="3"/>
    <n v="4.8"/>
    <n v="5"/>
    <x v="4"/>
  </r>
  <r>
    <x v="395"/>
    <s v="12/09/2025"/>
    <x v="15"/>
    <x v="3"/>
    <x v="3"/>
    <x v="0"/>
    <x v="0"/>
    <x v="2"/>
    <n v="9880"/>
    <n v="4"/>
    <n v="3.7"/>
    <n v="2"/>
    <x v="5"/>
  </r>
  <r>
    <x v="396"/>
    <s v="05/09/2025"/>
    <x v="7"/>
    <x v="3"/>
    <x v="3"/>
    <x v="5"/>
    <x v="0"/>
    <x v="0"/>
    <n v="14967"/>
    <n v="3"/>
    <n v="4.5999999999999996"/>
    <n v="3"/>
    <x v="5"/>
  </r>
  <r>
    <x v="397"/>
    <s v="18/07/2025"/>
    <x v="7"/>
    <x v="15"/>
    <x v="0"/>
    <x v="5"/>
    <x v="3"/>
    <x v="2"/>
    <n v="616"/>
    <n v="2"/>
    <n v="3.8"/>
    <n v="1"/>
    <x v="4"/>
  </r>
  <r>
    <x v="398"/>
    <s v="24/11/2025"/>
    <x v="7"/>
    <x v="6"/>
    <x v="1"/>
    <x v="2"/>
    <x v="0"/>
    <x v="0"/>
    <n v="21328"/>
    <n v="4"/>
    <n v="4.2"/>
    <n v="8"/>
    <x v="11"/>
  </r>
  <r>
    <x v="399"/>
    <s v="08/01/2025"/>
    <x v="6"/>
    <x v="14"/>
    <x v="2"/>
    <x v="4"/>
    <x v="0"/>
    <x v="2"/>
    <n v="96832"/>
    <n v="2"/>
    <n v="3.7"/>
    <n v="5"/>
    <x v="10"/>
  </r>
  <r>
    <x v="400"/>
    <s v="23/06/2025"/>
    <x v="2"/>
    <x v="19"/>
    <x v="2"/>
    <x v="0"/>
    <x v="1"/>
    <x v="3"/>
    <n v="50400"/>
    <n v="8"/>
    <n v="3.3"/>
    <n v="7"/>
    <x v="9"/>
  </r>
  <r>
    <x v="401"/>
    <s v="12/11/2025"/>
    <x v="6"/>
    <x v="5"/>
    <x v="4"/>
    <x v="4"/>
    <x v="2"/>
    <x v="3"/>
    <n v="9666"/>
    <n v="6"/>
    <n v="5"/>
    <n v="8"/>
    <x v="11"/>
  </r>
  <r>
    <x v="402"/>
    <s v="08/06/2025"/>
    <x v="5"/>
    <x v="15"/>
    <x v="0"/>
    <x v="4"/>
    <x v="3"/>
    <x v="1"/>
    <n v="10104"/>
    <n v="8"/>
    <n v="3.7"/>
    <n v="6"/>
    <x v="9"/>
  </r>
  <r>
    <x v="403"/>
    <s v="16/01/2025"/>
    <x v="15"/>
    <x v="11"/>
    <x v="3"/>
    <x v="5"/>
    <x v="0"/>
    <x v="2"/>
    <n v="9242"/>
    <n v="2"/>
    <n v="4.7"/>
    <n v="5"/>
    <x v="10"/>
  </r>
  <r>
    <x v="404"/>
    <s v="16/06/2025"/>
    <x v="10"/>
    <x v="3"/>
    <x v="3"/>
    <x v="4"/>
    <x v="1"/>
    <x v="3"/>
    <n v="7966"/>
    <n v="2"/>
    <n v="3.9"/>
    <n v="4"/>
    <x v="9"/>
  </r>
  <r>
    <x v="405"/>
    <s v="17/04/2025"/>
    <x v="6"/>
    <x v="20"/>
    <x v="0"/>
    <x v="3"/>
    <x v="2"/>
    <x v="3"/>
    <n v="8337"/>
    <n v="7"/>
    <n v="4.4000000000000004"/>
    <n v="2"/>
    <x v="2"/>
  </r>
  <r>
    <x v="406"/>
    <s v="19/02/2025"/>
    <x v="18"/>
    <x v="19"/>
    <x v="2"/>
    <x v="3"/>
    <x v="2"/>
    <x v="2"/>
    <n v="445504"/>
    <n v="8"/>
    <n v="3.4"/>
    <n v="7"/>
    <x v="7"/>
  </r>
  <r>
    <x v="407"/>
    <s v="25/10/2025"/>
    <x v="19"/>
    <x v="7"/>
    <x v="4"/>
    <x v="4"/>
    <x v="3"/>
    <x v="1"/>
    <n v="861"/>
    <n v="1"/>
    <n v="3.9"/>
    <n v="8"/>
    <x v="1"/>
  </r>
  <r>
    <x v="408"/>
    <s v="11/08/2025"/>
    <x v="2"/>
    <x v="6"/>
    <x v="1"/>
    <x v="2"/>
    <x v="2"/>
    <x v="2"/>
    <n v="44532"/>
    <n v="6"/>
    <n v="4.7"/>
    <n v="5"/>
    <x v="3"/>
  </r>
  <r>
    <x v="409"/>
    <s v="26/02/2025"/>
    <x v="5"/>
    <x v="6"/>
    <x v="1"/>
    <x v="3"/>
    <x v="1"/>
    <x v="0"/>
    <n v="36295"/>
    <n v="5"/>
    <n v="4.3"/>
    <n v="7"/>
    <x v="7"/>
  </r>
  <r>
    <x v="410"/>
    <s v="13/03/2025"/>
    <x v="8"/>
    <x v="5"/>
    <x v="4"/>
    <x v="0"/>
    <x v="2"/>
    <x v="2"/>
    <n v="7300"/>
    <n v="4"/>
    <n v="3.7"/>
    <n v="3"/>
    <x v="6"/>
  </r>
  <r>
    <x v="411"/>
    <s v="03/12/2025"/>
    <x v="4"/>
    <x v="5"/>
    <x v="4"/>
    <x v="4"/>
    <x v="1"/>
    <x v="3"/>
    <n v="4172"/>
    <n v="7"/>
    <n v="4.7"/>
    <n v="7"/>
    <x v="8"/>
  </r>
  <r>
    <x v="412"/>
    <s v="16/07/2025"/>
    <x v="12"/>
    <x v="8"/>
    <x v="1"/>
    <x v="2"/>
    <x v="1"/>
    <x v="1"/>
    <n v="5526"/>
    <n v="6"/>
    <n v="4.2"/>
    <n v="4"/>
    <x v="4"/>
  </r>
  <r>
    <x v="413"/>
    <s v="18/10/2025"/>
    <x v="8"/>
    <x v="0"/>
    <x v="0"/>
    <x v="1"/>
    <x v="3"/>
    <x v="3"/>
    <n v="13944"/>
    <n v="8"/>
    <n v="4.9000000000000004"/>
    <n v="2"/>
    <x v="1"/>
  </r>
  <r>
    <x v="414"/>
    <s v="25/09/2025"/>
    <x v="4"/>
    <x v="1"/>
    <x v="1"/>
    <x v="0"/>
    <x v="3"/>
    <x v="2"/>
    <n v="19268"/>
    <n v="2"/>
    <n v="4.5999999999999996"/>
    <n v="5"/>
    <x v="5"/>
  </r>
  <r>
    <x v="415"/>
    <s v="20/09/2025"/>
    <x v="4"/>
    <x v="11"/>
    <x v="3"/>
    <x v="1"/>
    <x v="3"/>
    <x v="1"/>
    <n v="28728"/>
    <n v="8"/>
    <n v="3.7"/>
    <n v="1"/>
    <x v="5"/>
  </r>
  <r>
    <x v="416"/>
    <s v="24/10/2025"/>
    <x v="8"/>
    <x v="15"/>
    <x v="0"/>
    <x v="5"/>
    <x v="2"/>
    <x v="1"/>
    <n v="4419"/>
    <n v="3"/>
    <n v="3.7"/>
    <n v="2"/>
    <x v="1"/>
  </r>
  <r>
    <x v="417"/>
    <s v="12/11/2025"/>
    <x v="17"/>
    <x v="2"/>
    <x v="2"/>
    <x v="2"/>
    <x v="0"/>
    <x v="1"/>
    <n v="21805"/>
    <n v="5"/>
    <n v="3.5"/>
    <n v="3"/>
    <x v="11"/>
  </r>
  <r>
    <x v="418"/>
    <s v="03/04/2025"/>
    <x v="5"/>
    <x v="5"/>
    <x v="4"/>
    <x v="4"/>
    <x v="1"/>
    <x v="0"/>
    <n v="595"/>
    <n v="1"/>
    <n v="4.7"/>
    <n v="7"/>
    <x v="2"/>
  </r>
  <r>
    <x v="419"/>
    <s v="28/01/2025"/>
    <x v="10"/>
    <x v="13"/>
    <x v="4"/>
    <x v="4"/>
    <x v="1"/>
    <x v="3"/>
    <n v="2325"/>
    <n v="5"/>
    <n v="4.0999999999999996"/>
    <n v="8"/>
    <x v="10"/>
  </r>
  <r>
    <x v="420"/>
    <s v="16/03/2025"/>
    <x v="7"/>
    <x v="4"/>
    <x v="3"/>
    <x v="5"/>
    <x v="3"/>
    <x v="3"/>
    <n v="26803"/>
    <n v="7"/>
    <n v="3.8"/>
    <n v="1"/>
    <x v="6"/>
  </r>
  <r>
    <x v="421"/>
    <s v="21/06/2025"/>
    <x v="6"/>
    <x v="6"/>
    <x v="1"/>
    <x v="4"/>
    <x v="3"/>
    <x v="0"/>
    <n v="36040"/>
    <n v="5"/>
    <n v="4"/>
    <n v="4"/>
    <x v="9"/>
  </r>
  <r>
    <x v="422"/>
    <s v="06/01/2025"/>
    <x v="15"/>
    <x v="19"/>
    <x v="2"/>
    <x v="4"/>
    <x v="3"/>
    <x v="1"/>
    <n v="56403"/>
    <n v="1"/>
    <n v="3.4"/>
    <n v="8"/>
    <x v="10"/>
  </r>
  <r>
    <x v="423"/>
    <s v="13/01/2025"/>
    <x v="9"/>
    <x v="17"/>
    <x v="4"/>
    <x v="5"/>
    <x v="0"/>
    <x v="3"/>
    <n v="2276"/>
    <n v="2"/>
    <n v="4.5"/>
    <n v="2"/>
    <x v="10"/>
  </r>
  <r>
    <x v="424"/>
    <s v="26/02/2025"/>
    <x v="16"/>
    <x v="9"/>
    <x v="1"/>
    <x v="1"/>
    <x v="3"/>
    <x v="1"/>
    <n v="33795"/>
    <n v="3"/>
    <n v="4"/>
    <n v="5"/>
    <x v="7"/>
  </r>
  <r>
    <x v="425"/>
    <s v="22/05/2025"/>
    <x v="1"/>
    <x v="17"/>
    <x v="4"/>
    <x v="3"/>
    <x v="2"/>
    <x v="3"/>
    <n v="1841"/>
    <n v="1"/>
    <n v="4.9000000000000004"/>
    <n v="5"/>
    <x v="0"/>
  </r>
  <r>
    <x v="426"/>
    <s v="02/04/2025"/>
    <x v="17"/>
    <x v="5"/>
    <x v="4"/>
    <x v="1"/>
    <x v="3"/>
    <x v="2"/>
    <n v="6712"/>
    <n v="8"/>
    <n v="4.3"/>
    <n v="2"/>
    <x v="2"/>
  </r>
  <r>
    <x v="427"/>
    <s v="06/02/2025"/>
    <x v="5"/>
    <x v="0"/>
    <x v="0"/>
    <x v="2"/>
    <x v="0"/>
    <x v="1"/>
    <n v="6065"/>
    <n v="5"/>
    <n v="4.4000000000000004"/>
    <n v="1"/>
    <x v="7"/>
  </r>
  <r>
    <x v="428"/>
    <s v="21/09/2025"/>
    <x v="14"/>
    <x v="3"/>
    <x v="3"/>
    <x v="0"/>
    <x v="3"/>
    <x v="1"/>
    <n v="10192"/>
    <n v="8"/>
    <n v="3.6"/>
    <n v="7"/>
    <x v="5"/>
  </r>
  <r>
    <x v="429"/>
    <s v="29/01/2025"/>
    <x v="19"/>
    <x v="12"/>
    <x v="2"/>
    <x v="4"/>
    <x v="2"/>
    <x v="3"/>
    <n v="94144"/>
    <n v="2"/>
    <n v="4.5999999999999996"/>
    <n v="5"/>
    <x v="10"/>
  </r>
  <r>
    <x v="430"/>
    <s v="23/12/2025"/>
    <x v="8"/>
    <x v="13"/>
    <x v="4"/>
    <x v="0"/>
    <x v="0"/>
    <x v="2"/>
    <n v="12047"/>
    <n v="7"/>
    <n v="4"/>
    <n v="4"/>
    <x v="8"/>
  </r>
  <r>
    <x v="431"/>
    <s v="08/09/2025"/>
    <x v="0"/>
    <x v="9"/>
    <x v="1"/>
    <x v="0"/>
    <x v="3"/>
    <x v="2"/>
    <n v="66836"/>
    <n v="7"/>
    <n v="4.9000000000000004"/>
    <n v="8"/>
    <x v="5"/>
  </r>
  <r>
    <x v="432"/>
    <s v="27/07/2025"/>
    <x v="9"/>
    <x v="14"/>
    <x v="2"/>
    <x v="0"/>
    <x v="0"/>
    <x v="3"/>
    <n v="125158"/>
    <n v="2"/>
    <n v="4.5"/>
    <n v="4"/>
    <x v="4"/>
  </r>
  <r>
    <x v="433"/>
    <s v="13/11/2025"/>
    <x v="7"/>
    <x v="15"/>
    <x v="0"/>
    <x v="3"/>
    <x v="0"/>
    <x v="2"/>
    <n v="797"/>
    <n v="1"/>
    <n v="3.3"/>
    <n v="5"/>
    <x v="11"/>
  </r>
  <r>
    <x v="434"/>
    <s v="12/09/2025"/>
    <x v="6"/>
    <x v="0"/>
    <x v="0"/>
    <x v="5"/>
    <x v="0"/>
    <x v="1"/>
    <n v="1716"/>
    <n v="4"/>
    <n v="3.9"/>
    <n v="2"/>
    <x v="5"/>
  </r>
  <r>
    <x v="435"/>
    <s v="31/10/2025"/>
    <x v="15"/>
    <x v="17"/>
    <x v="4"/>
    <x v="5"/>
    <x v="0"/>
    <x v="3"/>
    <n v="1524"/>
    <n v="3"/>
    <n v="4.5999999999999996"/>
    <n v="3"/>
    <x v="1"/>
  </r>
  <r>
    <x v="436"/>
    <s v="10/03/2025"/>
    <x v="1"/>
    <x v="17"/>
    <x v="4"/>
    <x v="0"/>
    <x v="3"/>
    <x v="3"/>
    <n v="3580"/>
    <n v="2"/>
    <n v="3.3"/>
    <n v="1"/>
    <x v="6"/>
  </r>
  <r>
    <x v="437"/>
    <s v="16/04/2025"/>
    <x v="4"/>
    <x v="18"/>
    <x v="3"/>
    <x v="1"/>
    <x v="2"/>
    <x v="0"/>
    <n v="13167"/>
    <n v="3"/>
    <n v="3.6"/>
    <n v="3"/>
    <x v="2"/>
  </r>
  <r>
    <x v="438"/>
    <s v="18/11/2025"/>
    <x v="4"/>
    <x v="3"/>
    <x v="3"/>
    <x v="2"/>
    <x v="0"/>
    <x v="3"/>
    <n v="26340"/>
    <n v="5"/>
    <n v="3.5"/>
    <n v="2"/>
    <x v="11"/>
  </r>
  <r>
    <x v="439"/>
    <s v="28/01/2025"/>
    <x v="2"/>
    <x v="13"/>
    <x v="4"/>
    <x v="1"/>
    <x v="3"/>
    <x v="1"/>
    <n v="3444"/>
    <n v="4"/>
    <n v="3.5"/>
    <n v="1"/>
    <x v="10"/>
  </r>
  <r>
    <x v="440"/>
    <s v="09/05/2025"/>
    <x v="1"/>
    <x v="5"/>
    <x v="4"/>
    <x v="0"/>
    <x v="1"/>
    <x v="2"/>
    <n v="12636"/>
    <n v="6"/>
    <n v="4.9000000000000004"/>
    <n v="3"/>
    <x v="0"/>
  </r>
  <r>
    <x v="441"/>
    <s v="16/08/2025"/>
    <x v="13"/>
    <x v="10"/>
    <x v="0"/>
    <x v="1"/>
    <x v="1"/>
    <x v="0"/>
    <n v="6948"/>
    <n v="6"/>
    <n v="3.8"/>
    <n v="2"/>
    <x v="3"/>
  </r>
  <r>
    <x v="442"/>
    <s v="07/02/2025"/>
    <x v="1"/>
    <x v="18"/>
    <x v="3"/>
    <x v="3"/>
    <x v="3"/>
    <x v="0"/>
    <n v="34160"/>
    <n v="8"/>
    <n v="3.6"/>
    <n v="8"/>
    <x v="7"/>
  </r>
  <r>
    <x v="443"/>
    <s v="20/11/2025"/>
    <x v="11"/>
    <x v="18"/>
    <x v="3"/>
    <x v="4"/>
    <x v="2"/>
    <x v="3"/>
    <n v="10452"/>
    <n v="6"/>
    <n v="4.4000000000000004"/>
    <n v="1"/>
    <x v="11"/>
  </r>
  <r>
    <x v="444"/>
    <s v="29/03/2025"/>
    <x v="6"/>
    <x v="11"/>
    <x v="3"/>
    <x v="5"/>
    <x v="0"/>
    <x v="2"/>
    <n v="11904"/>
    <n v="6"/>
    <n v="4.9000000000000004"/>
    <n v="3"/>
    <x v="6"/>
  </r>
  <r>
    <x v="445"/>
    <s v="21/04/2025"/>
    <x v="6"/>
    <x v="11"/>
    <x v="3"/>
    <x v="4"/>
    <x v="0"/>
    <x v="2"/>
    <n v="33656"/>
    <n v="8"/>
    <n v="3.6"/>
    <n v="7"/>
    <x v="2"/>
  </r>
  <r>
    <x v="446"/>
    <s v="21/01/2025"/>
    <x v="17"/>
    <x v="3"/>
    <x v="3"/>
    <x v="3"/>
    <x v="0"/>
    <x v="2"/>
    <n v="40400"/>
    <n v="8"/>
    <n v="4.0999999999999996"/>
    <n v="2"/>
    <x v="10"/>
  </r>
  <r>
    <x v="447"/>
    <s v="21/12/2025"/>
    <x v="0"/>
    <x v="1"/>
    <x v="1"/>
    <x v="3"/>
    <x v="3"/>
    <x v="0"/>
    <n v="33012"/>
    <n v="7"/>
    <n v="4.4000000000000004"/>
    <n v="2"/>
    <x v="8"/>
  </r>
  <r>
    <x v="448"/>
    <s v="21/08/2025"/>
    <x v="9"/>
    <x v="3"/>
    <x v="3"/>
    <x v="3"/>
    <x v="3"/>
    <x v="2"/>
    <n v="29872"/>
    <n v="8"/>
    <n v="4"/>
    <n v="1"/>
    <x v="3"/>
  </r>
  <r>
    <x v="449"/>
    <s v="19/05/2025"/>
    <x v="2"/>
    <x v="12"/>
    <x v="2"/>
    <x v="0"/>
    <x v="1"/>
    <x v="1"/>
    <n v="335296"/>
    <n v="4"/>
    <n v="4.0999999999999996"/>
    <n v="6"/>
    <x v="0"/>
  </r>
  <r>
    <x v="450"/>
    <s v="07/07/2025"/>
    <x v="10"/>
    <x v="3"/>
    <x v="3"/>
    <x v="0"/>
    <x v="1"/>
    <x v="0"/>
    <n v="14262"/>
    <n v="6"/>
    <n v="5"/>
    <n v="4"/>
    <x v="4"/>
  </r>
  <r>
    <x v="451"/>
    <s v="30/06/2025"/>
    <x v="14"/>
    <x v="13"/>
    <x v="4"/>
    <x v="5"/>
    <x v="2"/>
    <x v="3"/>
    <n v="9910"/>
    <n v="5"/>
    <n v="3.9"/>
    <n v="8"/>
    <x v="9"/>
  </r>
  <r>
    <x v="452"/>
    <s v="20/08/2025"/>
    <x v="3"/>
    <x v="6"/>
    <x v="1"/>
    <x v="0"/>
    <x v="2"/>
    <x v="0"/>
    <n v="13380"/>
    <n v="6"/>
    <n v="3.3"/>
    <n v="3"/>
    <x v="3"/>
  </r>
  <r>
    <x v="453"/>
    <s v="23/12/2025"/>
    <x v="10"/>
    <x v="14"/>
    <x v="2"/>
    <x v="4"/>
    <x v="1"/>
    <x v="1"/>
    <n v="87816"/>
    <n v="3"/>
    <n v="3.2"/>
    <n v="7"/>
    <x v="8"/>
  </r>
  <r>
    <x v="454"/>
    <s v="27/11/2025"/>
    <x v="16"/>
    <x v="11"/>
    <x v="3"/>
    <x v="5"/>
    <x v="3"/>
    <x v="1"/>
    <n v="880"/>
    <n v="1"/>
    <n v="4.7"/>
    <n v="6"/>
    <x v="11"/>
  </r>
  <r>
    <x v="455"/>
    <s v="23/08/2025"/>
    <x v="3"/>
    <x v="11"/>
    <x v="3"/>
    <x v="0"/>
    <x v="0"/>
    <x v="1"/>
    <n v="10530"/>
    <n v="5"/>
    <n v="3.6"/>
    <n v="6"/>
    <x v="3"/>
  </r>
  <r>
    <x v="456"/>
    <s v="27/03/2025"/>
    <x v="1"/>
    <x v="12"/>
    <x v="2"/>
    <x v="4"/>
    <x v="2"/>
    <x v="2"/>
    <n v="119661"/>
    <n v="3"/>
    <n v="4.7"/>
    <n v="3"/>
    <x v="6"/>
  </r>
  <r>
    <x v="457"/>
    <s v="06/03/2025"/>
    <x v="15"/>
    <x v="19"/>
    <x v="2"/>
    <x v="4"/>
    <x v="3"/>
    <x v="3"/>
    <n v="213456"/>
    <n v="8"/>
    <n v="4.5"/>
    <n v="6"/>
    <x v="6"/>
  </r>
  <r>
    <x v="458"/>
    <s v="01/10/2025"/>
    <x v="8"/>
    <x v="9"/>
    <x v="1"/>
    <x v="0"/>
    <x v="3"/>
    <x v="1"/>
    <n v="15905"/>
    <n v="5"/>
    <n v="4.9000000000000004"/>
    <n v="6"/>
    <x v="1"/>
  </r>
  <r>
    <x v="459"/>
    <s v="21/10/2025"/>
    <x v="10"/>
    <x v="4"/>
    <x v="3"/>
    <x v="0"/>
    <x v="3"/>
    <x v="2"/>
    <n v="4860"/>
    <n v="3"/>
    <n v="4.8"/>
    <n v="3"/>
    <x v="1"/>
  </r>
  <r>
    <x v="460"/>
    <s v="17/08/2025"/>
    <x v="11"/>
    <x v="18"/>
    <x v="3"/>
    <x v="4"/>
    <x v="2"/>
    <x v="2"/>
    <n v="34086"/>
    <n v="6"/>
    <n v="3.6"/>
    <n v="4"/>
    <x v="3"/>
  </r>
  <r>
    <x v="461"/>
    <s v="13/12/2025"/>
    <x v="15"/>
    <x v="8"/>
    <x v="1"/>
    <x v="3"/>
    <x v="0"/>
    <x v="3"/>
    <n v="12012"/>
    <n v="2"/>
    <n v="4.3"/>
    <n v="1"/>
    <x v="8"/>
  </r>
  <r>
    <x v="462"/>
    <s v="10/07/2025"/>
    <x v="19"/>
    <x v="12"/>
    <x v="2"/>
    <x v="1"/>
    <x v="1"/>
    <x v="3"/>
    <n v="48552"/>
    <n v="1"/>
    <n v="4.8"/>
    <n v="2"/>
    <x v="4"/>
  </r>
  <r>
    <x v="463"/>
    <s v="25/03/2025"/>
    <x v="3"/>
    <x v="4"/>
    <x v="3"/>
    <x v="3"/>
    <x v="3"/>
    <x v="2"/>
    <n v="38570"/>
    <n v="7"/>
    <n v="3.4"/>
    <n v="4"/>
    <x v="6"/>
  </r>
  <r>
    <x v="464"/>
    <s v="15/02/2025"/>
    <x v="19"/>
    <x v="8"/>
    <x v="1"/>
    <x v="4"/>
    <x v="1"/>
    <x v="1"/>
    <n v="9906"/>
    <n v="1"/>
    <n v="4"/>
    <n v="3"/>
    <x v="7"/>
  </r>
  <r>
    <x v="465"/>
    <s v="22/01/2025"/>
    <x v="8"/>
    <x v="8"/>
    <x v="1"/>
    <x v="2"/>
    <x v="3"/>
    <x v="3"/>
    <n v="41965"/>
    <n v="5"/>
    <n v="3.6"/>
    <n v="1"/>
    <x v="10"/>
  </r>
  <r>
    <x v="466"/>
    <s v="02/08/2025"/>
    <x v="4"/>
    <x v="20"/>
    <x v="0"/>
    <x v="1"/>
    <x v="3"/>
    <x v="3"/>
    <n v="3921"/>
    <n v="3"/>
    <n v="4.0999999999999996"/>
    <n v="2"/>
    <x v="3"/>
  </r>
  <r>
    <x v="467"/>
    <s v="13/05/2025"/>
    <x v="1"/>
    <x v="8"/>
    <x v="1"/>
    <x v="5"/>
    <x v="2"/>
    <x v="0"/>
    <n v="81800"/>
    <n v="8"/>
    <n v="3.2"/>
    <n v="5"/>
    <x v="0"/>
  </r>
  <r>
    <x v="468"/>
    <s v="21/12/2025"/>
    <x v="2"/>
    <x v="12"/>
    <x v="2"/>
    <x v="2"/>
    <x v="3"/>
    <x v="2"/>
    <n v="28296"/>
    <n v="3"/>
    <n v="4"/>
    <n v="6"/>
    <x v="8"/>
  </r>
  <r>
    <x v="469"/>
    <s v="18/11/2025"/>
    <x v="11"/>
    <x v="9"/>
    <x v="1"/>
    <x v="1"/>
    <x v="3"/>
    <x v="2"/>
    <n v="17940"/>
    <n v="3"/>
    <n v="4.7"/>
    <n v="5"/>
    <x v="11"/>
  </r>
  <r>
    <x v="470"/>
    <s v="15/03/2025"/>
    <x v="7"/>
    <x v="6"/>
    <x v="1"/>
    <x v="4"/>
    <x v="0"/>
    <x v="0"/>
    <n v="8744"/>
    <n v="1"/>
    <n v="3.9"/>
    <n v="3"/>
    <x v="6"/>
  </r>
  <r>
    <x v="471"/>
    <s v="02/08/2025"/>
    <x v="8"/>
    <x v="17"/>
    <x v="4"/>
    <x v="3"/>
    <x v="3"/>
    <x v="0"/>
    <n v="5816"/>
    <n v="8"/>
    <n v="3.8"/>
    <n v="6"/>
    <x v="3"/>
  </r>
  <r>
    <x v="472"/>
    <s v="02/03/2025"/>
    <x v="16"/>
    <x v="14"/>
    <x v="2"/>
    <x v="1"/>
    <x v="2"/>
    <x v="2"/>
    <n v="128788"/>
    <n v="4"/>
    <n v="3.6"/>
    <n v="2"/>
    <x v="6"/>
  </r>
  <r>
    <x v="473"/>
    <s v="09/08/2025"/>
    <x v="11"/>
    <x v="15"/>
    <x v="0"/>
    <x v="0"/>
    <x v="2"/>
    <x v="1"/>
    <n v="702"/>
    <n v="1"/>
    <n v="3.3"/>
    <n v="2"/>
    <x v="3"/>
  </r>
  <r>
    <x v="474"/>
    <s v="05/03/2025"/>
    <x v="6"/>
    <x v="0"/>
    <x v="0"/>
    <x v="2"/>
    <x v="3"/>
    <x v="0"/>
    <n v="6012"/>
    <n v="4"/>
    <n v="3.4"/>
    <n v="5"/>
    <x v="6"/>
  </r>
  <r>
    <x v="475"/>
    <s v="16/09/2025"/>
    <x v="10"/>
    <x v="9"/>
    <x v="1"/>
    <x v="0"/>
    <x v="2"/>
    <x v="0"/>
    <n v="7876"/>
    <n v="2"/>
    <n v="4.9000000000000004"/>
    <n v="3"/>
    <x v="5"/>
  </r>
  <r>
    <x v="476"/>
    <s v="07/07/2025"/>
    <x v="16"/>
    <x v="8"/>
    <x v="1"/>
    <x v="0"/>
    <x v="3"/>
    <x v="2"/>
    <n v="21057"/>
    <n v="3"/>
    <n v="4"/>
    <n v="4"/>
    <x v="4"/>
  </r>
  <r>
    <x v="477"/>
    <s v="24/09/2025"/>
    <x v="7"/>
    <x v="3"/>
    <x v="3"/>
    <x v="3"/>
    <x v="3"/>
    <x v="3"/>
    <n v="15792"/>
    <n v="3"/>
    <n v="3.3"/>
    <n v="8"/>
    <x v="5"/>
  </r>
  <r>
    <x v="478"/>
    <s v="18/12/2025"/>
    <x v="15"/>
    <x v="6"/>
    <x v="1"/>
    <x v="4"/>
    <x v="2"/>
    <x v="3"/>
    <n v="31144"/>
    <n v="8"/>
    <n v="4.7"/>
    <n v="8"/>
    <x v="8"/>
  </r>
  <r>
    <x v="479"/>
    <s v="13/08/2025"/>
    <x v="9"/>
    <x v="15"/>
    <x v="0"/>
    <x v="2"/>
    <x v="0"/>
    <x v="1"/>
    <n v="1088"/>
    <n v="2"/>
    <n v="5"/>
    <n v="3"/>
    <x v="3"/>
  </r>
  <r>
    <x v="480"/>
    <s v="04/03/2025"/>
    <x v="15"/>
    <x v="5"/>
    <x v="4"/>
    <x v="3"/>
    <x v="1"/>
    <x v="3"/>
    <n v="9176"/>
    <n v="4"/>
    <n v="3.7"/>
    <n v="7"/>
    <x v="6"/>
  </r>
  <r>
    <x v="481"/>
    <s v="17/03/2025"/>
    <x v="0"/>
    <x v="6"/>
    <x v="1"/>
    <x v="0"/>
    <x v="2"/>
    <x v="2"/>
    <n v="71576"/>
    <n v="8"/>
    <n v="3.6"/>
    <n v="3"/>
    <x v="6"/>
  </r>
  <r>
    <x v="482"/>
    <s v="02/04/2025"/>
    <x v="12"/>
    <x v="3"/>
    <x v="3"/>
    <x v="3"/>
    <x v="1"/>
    <x v="0"/>
    <n v="22260"/>
    <n v="7"/>
    <n v="4.3"/>
    <n v="2"/>
    <x v="2"/>
  </r>
  <r>
    <x v="483"/>
    <s v="09/09/2025"/>
    <x v="16"/>
    <x v="12"/>
    <x v="2"/>
    <x v="0"/>
    <x v="1"/>
    <x v="3"/>
    <n v="366740"/>
    <n v="5"/>
    <n v="4.9000000000000004"/>
    <n v="1"/>
    <x v="5"/>
  </r>
  <r>
    <x v="484"/>
    <s v="15/08/2025"/>
    <x v="1"/>
    <x v="12"/>
    <x v="2"/>
    <x v="3"/>
    <x v="1"/>
    <x v="0"/>
    <n v="205456"/>
    <n v="8"/>
    <n v="4.7"/>
    <n v="5"/>
    <x v="3"/>
  </r>
  <r>
    <x v="485"/>
    <s v="07/09/2025"/>
    <x v="12"/>
    <x v="12"/>
    <x v="2"/>
    <x v="0"/>
    <x v="1"/>
    <x v="1"/>
    <n v="150170"/>
    <n v="2"/>
    <n v="4"/>
    <n v="3"/>
    <x v="5"/>
  </r>
  <r>
    <x v="486"/>
    <s v="12/11/2025"/>
    <x v="15"/>
    <x v="11"/>
    <x v="3"/>
    <x v="1"/>
    <x v="2"/>
    <x v="1"/>
    <n v="5580"/>
    <n v="6"/>
    <n v="3.3"/>
    <n v="6"/>
    <x v="11"/>
  </r>
  <r>
    <x v="487"/>
    <s v="08/08/2025"/>
    <x v="3"/>
    <x v="3"/>
    <x v="3"/>
    <x v="5"/>
    <x v="2"/>
    <x v="2"/>
    <n v="6972"/>
    <n v="6"/>
    <n v="3.6"/>
    <n v="4"/>
    <x v="3"/>
  </r>
  <r>
    <x v="488"/>
    <s v="22/06/2025"/>
    <x v="6"/>
    <x v="14"/>
    <x v="2"/>
    <x v="5"/>
    <x v="1"/>
    <x v="1"/>
    <n v="135732"/>
    <n v="3"/>
    <n v="4.4000000000000004"/>
    <n v="7"/>
    <x v="9"/>
  </r>
  <r>
    <x v="489"/>
    <s v="29/10/2025"/>
    <x v="7"/>
    <x v="15"/>
    <x v="0"/>
    <x v="1"/>
    <x v="0"/>
    <x v="1"/>
    <n v="948"/>
    <n v="1"/>
    <n v="4.2"/>
    <n v="8"/>
    <x v="1"/>
  </r>
  <r>
    <x v="490"/>
    <s v="27/03/2025"/>
    <x v="10"/>
    <x v="4"/>
    <x v="3"/>
    <x v="4"/>
    <x v="3"/>
    <x v="1"/>
    <n v="23855"/>
    <n v="5"/>
    <n v="4.7"/>
    <n v="2"/>
    <x v="6"/>
  </r>
  <r>
    <x v="491"/>
    <s v="21/10/2025"/>
    <x v="6"/>
    <x v="20"/>
    <x v="0"/>
    <x v="5"/>
    <x v="1"/>
    <x v="3"/>
    <n v="5334"/>
    <n v="7"/>
    <n v="3.8"/>
    <n v="2"/>
    <x v="1"/>
  </r>
  <r>
    <x v="492"/>
    <s v="09/02/2025"/>
    <x v="11"/>
    <x v="13"/>
    <x v="4"/>
    <x v="5"/>
    <x v="1"/>
    <x v="0"/>
    <n v="7390"/>
    <n v="5"/>
    <n v="3.6"/>
    <n v="7"/>
    <x v="7"/>
  </r>
  <r>
    <x v="493"/>
    <s v="23/10/2025"/>
    <x v="6"/>
    <x v="10"/>
    <x v="0"/>
    <x v="1"/>
    <x v="2"/>
    <x v="0"/>
    <n v="5888"/>
    <n v="8"/>
    <n v="4.7"/>
    <n v="7"/>
    <x v="1"/>
  </r>
  <r>
    <x v="494"/>
    <s v="17/03/2025"/>
    <x v="19"/>
    <x v="12"/>
    <x v="2"/>
    <x v="3"/>
    <x v="3"/>
    <x v="1"/>
    <n v="238268"/>
    <n v="4"/>
    <n v="4.7"/>
    <n v="2"/>
    <x v="6"/>
  </r>
  <r>
    <x v="495"/>
    <s v="18/12/2025"/>
    <x v="17"/>
    <x v="13"/>
    <x v="4"/>
    <x v="3"/>
    <x v="1"/>
    <x v="3"/>
    <n v="4904"/>
    <n v="4"/>
    <n v="3.2"/>
    <n v="5"/>
    <x v="8"/>
  </r>
  <r>
    <x v="496"/>
    <s v="23/03/2025"/>
    <x v="14"/>
    <x v="10"/>
    <x v="0"/>
    <x v="0"/>
    <x v="2"/>
    <x v="2"/>
    <n v="2895"/>
    <n v="5"/>
    <n v="4.2"/>
    <n v="1"/>
    <x v="6"/>
  </r>
  <r>
    <x v="497"/>
    <s v="02/06/2025"/>
    <x v="12"/>
    <x v="19"/>
    <x v="2"/>
    <x v="1"/>
    <x v="3"/>
    <x v="3"/>
    <n v="28672"/>
    <n v="2"/>
    <n v="3.6"/>
    <n v="2"/>
    <x v="9"/>
  </r>
  <r>
    <x v="498"/>
    <s v="04/11/2025"/>
    <x v="8"/>
    <x v="10"/>
    <x v="0"/>
    <x v="0"/>
    <x v="0"/>
    <x v="0"/>
    <n v="1882"/>
    <n v="2"/>
    <n v="4.9000000000000004"/>
    <n v="4"/>
    <x v="11"/>
  </r>
  <r>
    <x v="499"/>
    <s v="29/07/2025"/>
    <x v="18"/>
    <x v="12"/>
    <x v="2"/>
    <x v="5"/>
    <x v="1"/>
    <x v="3"/>
    <n v="333860"/>
    <n v="5"/>
    <n v="4.5"/>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F47DD3-5AB3-40CE-B4A7-467716B3FBBD}" name="PivotTable7" cacheId="18"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B2:AC9"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axis="axisRow" showAll="0">
      <items count="7">
        <item x="4"/>
        <item x="1"/>
        <item x="0"/>
        <item x="3"/>
        <item x="5"/>
        <item x="2"/>
        <item t="default"/>
      </items>
    </pivotField>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5"/>
  </rowFields>
  <rowItems count="7">
    <i>
      <x/>
    </i>
    <i>
      <x v="1"/>
    </i>
    <i>
      <x v="2"/>
    </i>
    <i>
      <x v="3"/>
    </i>
    <i>
      <x v="4"/>
    </i>
    <i>
      <x v="5"/>
    </i>
    <i t="grand">
      <x/>
    </i>
  </rowItems>
  <colItems count="1">
    <i/>
  </colItems>
  <dataFields count="1">
    <dataField name="Sum of Sales" fld="8" baseField="0" baseItem="0"/>
  </dataFields>
  <formats count="7">
    <format dxfId="441">
      <pivotArea collapsedLevelsAreSubtotals="1" fieldPosition="0">
        <references count="1">
          <reference field="5" count="1">
            <x v="0"/>
          </reference>
        </references>
      </pivotArea>
    </format>
    <format dxfId="440">
      <pivotArea collapsedLevelsAreSubtotals="1" fieldPosition="0">
        <references count="1">
          <reference field="5" count="1">
            <x v="1"/>
          </reference>
        </references>
      </pivotArea>
    </format>
    <format dxfId="439">
      <pivotArea collapsedLevelsAreSubtotals="1" fieldPosition="0">
        <references count="1">
          <reference field="5" count="1">
            <x v="2"/>
          </reference>
        </references>
      </pivotArea>
    </format>
    <format dxfId="438">
      <pivotArea collapsedLevelsAreSubtotals="1" fieldPosition="0">
        <references count="1">
          <reference field="5" count="1">
            <x v="3"/>
          </reference>
        </references>
      </pivotArea>
    </format>
    <format dxfId="437">
      <pivotArea collapsedLevelsAreSubtotals="1" fieldPosition="0">
        <references count="1">
          <reference field="5" count="1">
            <x v="4"/>
          </reference>
        </references>
      </pivotArea>
    </format>
    <format dxfId="436">
      <pivotArea collapsedLevelsAreSubtotals="1" fieldPosition="0">
        <references count="1">
          <reference field="5" count="1">
            <x v="5"/>
          </reference>
        </references>
      </pivotArea>
    </format>
    <format dxfId="43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51186-1215-4842-870C-71281B569908}" name="PivotTable6" cacheId="18" dataOnRows="1"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P2:T504" firstHeaderRow="2" firstDataRow="2" firstDataCol="4"/>
  <pivotFields count="13">
    <pivotField axis="axisRow"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compact="0" outline="0" showAll="0" defaultSubtotal="0"/>
    <pivotField axis="axisRow" compact="0" outline="0" showAll="0" defaultSubtotal="0">
      <items count="20">
        <item x="4"/>
        <item x="8"/>
        <item x="13"/>
        <item x="5"/>
        <item x="7"/>
        <item x="6"/>
        <item x="1"/>
        <item x="15"/>
        <item x="17"/>
        <item x="10"/>
        <item x="2"/>
        <item x="12"/>
        <item x="11"/>
        <item x="3"/>
        <item x="19"/>
        <item x="0"/>
        <item x="14"/>
        <item x="18"/>
        <item x="16"/>
        <item x="9"/>
      </items>
    </pivotField>
    <pivotField axis="axisRow" compact="0" outline="0" showAll="0" measureFilter="1" defaultSubtotal="0">
      <items count="21">
        <item x="12"/>
        <item x="6"/>
        <item x="5"/>
        <item x="1"/>
        <item x="13"/>
        <item x="20"/>
        <item x="2"/>
        <item x="4"/>
        <item x="8"/>
        <item x="14"/>
        <item x="15"/>
        <item x="16"/>
        <item x="9"/>
        <item x="17"/>
        <item x="10"/>
        <item x="7"/>
        <item x="0"/>
        <item x="3"/>
        <item x="19"/>
        <item x="18"/>
        <item x="11"/>
      </items>
    </pivotField>
    <pivotField axis="axisRow" compact="0" outline="0" showAll="0" defaultSubtotal="0">
      <items count="5">
        <item x="0"/>
        <item x="4"/>
        <item x="2"/>
        <item x="3"/>
        <item x="1"/>
      </items>
    </pivotField>
    <pivotField compact="0" outline="0" showAll="0" defaultSubtotal="0"/>
    <pivotField compact="0" outline="0" showAll="0" defaultSubtotal="0">
      <items count="4">
        <item x="2"/>
        <item x="0"/>
        <item x="3"/>
        <item x="1"/>
      </items>
    </pivotField>
    <pivotField compact="0" outline="0" showAll="0" defaultSubtotal="0">
      <items count="4">
        <item x="2"/>
        <item x="0"/>
        <item x="1"/>
        <item x="3"/>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2">
        <item x="10"/>
        <item x="7"/>
        <item x="6"/>
        <item x="2"/>
        <item x="0"/>
        <item x="9"/>
        <item x="4"/>
        <item x="3"/>
        <item x="5"/>
        <item x="1"/>
        <item x="11"/>
        <item x="8"/>
      </items>
    </pivotField>
  </pivotFields>
  <rowFields count="4">
    <field x="0"/>
    <field x="2"/>
    <field x="3"/>
    <field x="4"/>
  </rowFields>
  <rowItems count="501">
    <i>
      <x/>
      <x v="15"/>
      <x v="16"/>
      <x/>
    </i>
    <i>
      <x v="1"/>
      <x v="6"/>
      <x v="3"/>
      <x v="4"/>
    </i>
    <i>
      <x v="2"/>
      <x v="10"/>
      <x v="6"/>
      <x v="2"/>
    </i>
    <i>
      <x v="3"/>
      <x v="13"/>
      <x v="17"/>
      <x v="3"/>
    </i>
    <i>
      <x v="4"/>
      <x/>
      <x v="7"/>
      <x v="3"/>
    </i>
    <i>
      <x v="5"/>
      <x v="3"/>
      <x v="2"/>
      <x v="1"/>
    </i>
    <i>
      <x v="6"/>
      <x v="5"/>
      <x v="1"/>
      <x v="4"/>
    </i>
    <i>
      <x v="7"/>
      <x/>
      <x v="15"/>
      <x v="1"/>
    </i>
    <i>
      <x v="8"/>
      <x v="4"/>
      <x v="8"/>
      <x v="4"/>
    </i>
    <i>
      <x v="9"/>
      <x v="1"/>
      <x v="17"/>
      <x v="3"/>
    </i>
    <i>
      <x v="10"/>
      <x v="19"/>
      <x v="1"/>
      <x v="4"/>
    </i>
    <i>
      <x v="11"/>
      <x v="9"/>
      <x v="12"/>
      <x v="4"/>
    </i>
    <i>
      <x v="12"/>
      <x v="5"/>
      <x v="7"/>
      <x v="3"/>
    </i>
    <i>
      <x v="13"/>
      <x v="9"/>
      <x v="14"/>
      <x/>
    </i>
    <i>
      <x v="14"/>
      <x v="4"/>
      <x v="20"/>
      <x v="3"/>
    </i>
    <i>
      <x v="15"/>
      <x v="19"/>
      <x v="14"/>
      <x/>
    </i>
    <i>
      <x v="16"/>
      <x v="6"/>
      <x v="3"/>
      <x v="4"/>
    </i>
    <i>
      <x v="17"/>
      <x v="5"/>
      <x/>
      <x v="2"/>
    </i>
    <i>
      <x v="18"/>
      <x v="19"/>
      <x v="16"/>
      <x/>
    </i>
    <i>
      <x v="19"/>
      <x v="12"/>
      <x v="17"/>
      <x v="3"/>
    </i>
    <i>
      <x v="20"/>
      <x v="19"/>
      <x/>
      <x v="2"/>
    </i>
    <i>
      <x v="21"/>
      <x v="9"/>
      <x v="4"/>
      <x v="1"/>
    </i>
    <i>
      <x v="22"/>
      <x v="11"/>
      <x v="9"/>
      <x v="2"/>
    </i>
    <i>
      <x v="23"/>
      <x v="9"/>
      <x v="10"/>
      <x/>
    </i>
    <i>
      <x v="24"/>
      <x v="10"/>
      <x v="16"/>
      <x/>
    </i>
    <i>
      <x v="25"/>
      <x v="2"/>
      <x v="6"/>
      <x v="2"/>
    </i>
    <i>
      <x v="26"/>
      <x v="16"/>
      <x v="14"/>
      <x/>
    </i>
    <i>
      <x v="27"/>
      <x v="7"/>
      <x v="11"/>
      <x v="2"/>
    </i>
    <i>
      <x v="28"/>
      <x v="18"/>
      <x v="16"/>
      <x/>
    </i>
    <i>
      <x v="29"/>
      <x v="7"/>
      <x v="12"/>
      <x v="4"/>
    </i>
    <i>
      <x v="30"/>
      <x v="13"/>
      <x v="1"/>
      <x v="4"/>
    </i>
    <i>
      <x v="31"/>
      <x v="18"/>
      <x v="20"/>
      <x v="3"/>
    </i>
    <i>
      <x v="32"/>
      <x v="19"/>
      <x v="20"/>
      <x v="3"/>
    </i>
    <i>
      <x v="33"/>
      <x v="3"/>
      <x v="15"/>
      <x v="1"/>
    </i>
    <i>
      <x v="34"/>
      <x v="8"/>
      <x v="13"/>
      <x v="1"/>
    </i>
    <i>
      <x v="35"/>
      <x v="11"/>
      <x v="20"/>
      <x v="3"/>
    </i>
    <i>
      <x v="36"/>
      <x v="3"/>
      <x v="17"/>
      <x v="3"/>
    </i>
    <i>
      <x v="37"/>
      <x v="5"/>
      <x v="10"/>
      <x/>
    </i>
    <i>
      <x v="38"/>
      <x v="2"/>
      <x v="17"/>
      <x v="3"/>
    </i>
    <i>
      <x v="39"/>
      <x v="5"/>
      <x v="10"/>
      <x/>
    </i>
    <i>
      <x v="40"/>
      <x v="3"/>
      <x v="19"/>
      <x v="3"/>
    </i>
    <i>
      <x v="41"/>
      <x v="15"/>
      <x v="10"/>
      <x/>
    </i>
    <i>
      <x v="42"/>
      <x v="6"/>
      <x v="2"/>
      <x v="1"/>
    </i>
    <i>
      <x v="43"/>
      <x/>
      <x v="18"/>
      <x v="2"/>
    </i>
    <i>
      <x v="44"/>
      <x v="18"/>
      <x v="8"/>
      <x v="4"/>
    </i>
    <i>
      <x v="45"/>
      <x v="17"/>
      <x v="19"/>
      <x v="3"/>
    </i>
    <i>
      <x v="46"/>
      <x v="12"/>
      <x v="19"/>
      <x v="3"/>
    </i>
    <i>
      <x v="47"/>
      <x v="16"/>
      <x v="3"/>
      <x v="4"/>
    </i>
    <i>
      <x v="48"/>
      <x v="7"/>
      <x v="6"/>
      <x v="2"/>
    </i>
    <i>
      <x v="49"/>
      <x v="14"/>
      <x v="11"/>
      <x v="2"/>
    </i>
    <i>
      <x v="50"/>
      <x v="12"/>
      <x v="1"/>
      <x v="4"/>
    </i>
    <i>
      <x v="51"/>
      <x v="12"/>
      <x v="2"/>
      <x v="1"/>
    </i>
    <i>
      <x v="52"/>
      <x v="9"/>
      <x v="20"/>
      <x v="3"/>
    </i>
    <i>
      <x v="53"/>
      <x v="19"/>
      <x v="20"/>
      <x v="3"/>
    </i>
    <i>
      <x v="54"/>
      <x v="13"/>
      <x v="3"/>
      <x v="4"/>
    </i>
    <i>
      <x v="55"/>
      <x v="1"/>
      <x v="4"/>
      <x v="1"/>
    </i>
    <i>
      <x v="56"/>
      <x v="8"/>
      <x v="18"/>
      <x v="2"/>
    </i>
    <i>
      <x v="57"/>
      <x v="5"/>
      <x v="18"/>
      <x v="2"/>
    </i>
    <i>
      <x v="58"/>
      <x v="17"/>
      <x v="8"/>
      <x v="4"/>
    </i>
    <i>
      <x v="59"/>
      <x v="17"/>
      <x/>
      <x v="2"/>
    </i>
    <i>
      <x v="60"/>
      <x v="14"/>
      <x v="8"/>
      <x v="4"/>
    </i>
    <i>
      <x v="61"/>
      <x v="19"/>
      <x v="20"/>
      <x v="3"/>
    </i>
    <i>
      <x v="62"/>
      <x v="3"/>
      <x v="14"/>
      <x/>
    </i>
    <i>
      <x v="63"/>
      <x v="1"/>
      <x/>
      <x v="2"/>
    </i>
    <i>
      <x v="64"/>
      <x v="10"/>
      <x v="18"/>
      <x v="2"/>
    </i>
    <i>
      <x v="65"/>
      <x v="4"/>
      <x v="19"/>
      <x v="3"/>
    </i>
    <i>
      <x v="66"/>
      <x v="17"/>
      <x v="2"/>
      <x v="1"/>
    </i>
    <i>
      <x v="67"/>
      <x v="8"/>
      <x v="17"/>
      <x v="3"/>
    </i>
    <i>
      <x v="68"/>
      <x v="6"/>
      <x v="5"/>
      <x/>
    </i>
    <i>
      <x v="69"/>
      <x v="13"/>
      <x v="12"/>
      <x v="4"/>
    </i>
    <i>
      <x v="70"/>
      <x v="16"/>
      <x v="7"/>
      <x v="3"/>
    </i>
    <i>
      <x v="71"/>
      <x/>
      <x v="1"/>
      <x v="4"/>
    </i>
    <i>
      <x v="72"/>
      <x v="13"/>
      <x v="4"/>
      <x v="1"/>
    </i>
    <i>
      <x v="73"/>
      <x v="11"/>
      <x v="13"/>
      <x v="1"/>
    </i>
    <i>
      <x v="74"/>
      <x v="9"/>
      <x/>
      <x v="2"/>
    </i>
    <i>
      <x v="75"/>
      <x v="4"/>
      <x v="5"/>
      <x/>
    </i>
    <i>
      <x v="76"/>
      <x v="10"/>
      <x v="5"/>
      <x/>
    </i>
    <i>
      <x v="77"/>
      <x v="18"/>
      <x v="16"/>
      <x/>
    </i>
    <i>
      <x v="78"/>
      <x v="4"/>
      <x v="8"/>
      <x v="4"/>
    </i>
    <i>
      <x v="79"/>
      <x v="10"/>
      <x v="10"/>
      <x/>
    </i>
    <i>
      <x v="80"/>
      <x v="12"/>
      <x v="12"/>
      <x v="4"/>
    </i>
    <i>
      <x v="81"/>
      <x v="12"/>
      <x v="13"/>
      <x v="1"/>
    </i>
    <i>
      <x v="82"/>
      <x/>
      <x v="3"/>
      <x v="4"/>
    </i>
    <i>
      <x v="83"/>
      <x/>
      <x v="16"/>
      <x/>
    </i>
    <i>
      <x v="84"/>
      <x v="4"/>
      <x v="18"/>
      <x v="2"/>
    </i>
    <i>
      <x v="85"/>
      <x v="7"/>
      <x v="19"/>
      <x v="3"/>
    </i>
    <i>
      <x v="86"/>
      <x v="4"/>
      <x v="16"/>
      <x/>
    </i>
    <i>
      <x v="87"/>
      <x v="2"/>
      <x v="5"/>
      <x/>
    </i>
    <i>
      <x v="88"/>
      <x v="17"/>
      <x v="5"/>
      <x/>
    </i>
    <i>
      <x v="89"/>
      <x v="17"/>
      <x v="2"/>
      <x v="1"/>
    </i>
    <i>
      <x v="90"/>
      <x v="8"/>
      <x v="18"/>
      <x v="2"/>
    </i>
    <i>
      <x v="91"/>
      <x v="11"/>
      <x v="8"/>
      <x v="4"/>
    </i>
    <i>
      <x v="92"/>
      <x v="17"/>
      <x v="2"/>
      <x v="1"/>
    </i>
    <i>
      <x v="93"/>
      <x v="3"/>
      <x v="19"/>
      <x v="3"/>
    </i>
    <i>
      <x v="94"/>
      <x v="3"/>
      <x v="10"/>
      <x/>
    </i>
    <i>
      <x v="95"/>
      <x v="3"/>
      <x v="8"/>
      <x v="4"/>
    </i>
    <i>
      <x v="96"/>
      <x v="2"/>
      <x v="6"/>
      <x v="2"/>
    </i>
    <i>
      <x v="97"/>
      <x v="5"/>
      <x v="15"/>
      <x v="1"/>
    </i>
    <i>
      <x v="98"/>
      <x v="13"/>
      <x v="2"/>
      <x v="1"/>
    </i>
    <i>
      <x v="99"/>
      <x v="8"/>
      <x v="5"/>
      <x/>
    </i>
    <i>
      <x v="100"/>
      <x v="10"/>
      <x v="8"/>
      <x v="4"/>
    </i>
    <i>
      <x v="101"/>
      <x v="19"/>
      <x v="12"/>
      <x v="4"/>
    </i>
    <i>
      <x v="102"/>
      <x v="1"/>
      <x v="11"/>
      <x v="2"/>
    </i>
    <i>
      <x v="103"/>
      <x v="15"/>
      <x v="8"/>
      <x v="4"/>
    </i>
    <i>
      <x v="104"/>
      <x v="11"/>
      <x v="4"/>
      <x v="1"/>
    </i>
    <i>
      <x v="105"/>
      <x v="18"/>
      <x v="12"/>
      <x v="4"/>
    </i>
    <i>
      <x v="106"/>
      <x v="8"/>
      <x v="1"/>
      <x v="4"/>
    </i>
    <i>
      <x v="107"/>
      <x v="13"/>
      <x v="15"/>
      <x v="1"/>
    </i>
    <i>
      <x v="108"/>
      <x v="2"/>
      <x v="19"/>
      <x v="3"/>
    </i>
    <i>
      <x v="109"/>
      <x v="1"/>
      <x v="13"/>
      <x v="1"/>
    </i>
    <i>
      <x v="110"/>
      <x v="13"/>
      <x v="3"/>
      <x v="4"/>
    </i>
    <i>
      <x v="111"/>
      <x v="1"/>
      <x v="14"/>
      <x/>
    </i>
    <i>
      <x v="112"/>
      <x v="3"/>
      <x v="1"/>
      <x v="4"/>
    </i>
    <i>
      <x v="113"/>
      <x v="1"/>
      <x v="11"/>
      <x v="2"/>
    </i>
    <i>
      <x v="114"/>
      <x v="10"/>
      <x v="2"/>
      <x v="1"/>
    </i>
    <i>
      <x v="115"/>
      <x v="17"/>
      <x v="18"/>
      <x v="2"/>
    </i>
    <i>
      <x v="116"/>
      <x v="19"/>
      <x v="20"/>
      <x v="3"/>
    </i>
    <i>
      <x v="117"/>
      <x/>
      <x v="19"/>
      <x v="3"/>
    </i>
    <i>
      <x v="118"/>
      <x v="19"/>
      <x v="7"/>
      <x v="3"/>
    </i>
    <i>
      <x v="119"/>
      <x v="7"/>
      <x v="12"/>
      <x v="4"/>
    </i>
    <i>
      <x v="120"/>
      <x v="2"/>
      <x v="7"/>
      <x v="3"/>
    </i>
    <i>
      <x v="121"/>
      <x v="14"/>
      <x v="20"/>
      <x v="3"/>
    </i>
    <i>
      <x v="122"/>
      <x v="6"/>
      <x v="19"/>
      <x v="3"/>
    </i>
    <i>
      <x v="123"/>
      <x v="8"/>
      <x v="12"/>
      <x v="4"/>
    </i>
    <i>
      <x v="124"/>
      <x v="19"/>
      <x v="5"/>
      <x/>
    </i>
    <i>
      <x v="125"/>
      <x v="17"/>
      <x v="15"/>
      <x v="1"/>
    </i>
    <i>
      <x v="126"/>
      <x v="11"/>
      <x v="1"/>
      <x v="4"/>
    </i>
    <i>
      <x v="127"/>
      <x v="5"/>
      <x v="4"/>
      <x v="1"/>
    </i>
    <i>
      <x v="128"/>
      <x v="6"/>
      <x v="1"/>
      <x v="4"/>
    </i>
    <i>
      <x v="129"/>
      <x v="17"/>
      <x v="19"/>
      <x v="3"/>
    </i>
    <i>
      <x v="130"/>
      <x v="17"/>
      <x/>
      <x v="2"/>
    </i>
    <i>
      <x v="131"/>
      <x v="2"/>
      <x v="2"/>
      <x v="1"/>
    </i>
    <i>
      <x v="132"/>
      <x v="7"/>
      <x v="5"/>
      <x/>
    </i>
    <i>
      <x v="133"/>
      <x/>
      <x v="17"/>
      <x v="3"/>
    </i>
    <i>
      <x v="134"/>
      <x v="10"/>
      <x v="10"/>
      <x/>
    </i>
    <i>
      <x v="135"/>
      <x v="5"/>
      <x v="20"/>
      <x v="3"/>
    </i>
    <i>
      <x v="136"/>
      <x/>
      <x v="17"/>
      <x v="3"/>
    </i>
    <i>
      <x v="137"/>
      <x v="17"/>
      <x v="10"/>
      <x/>
    </i>
    <i>
      <x v="138"/>
      <x v="11"/>
      <x v="2"/>
      <x v="1"/>
    </i>
    <i>
      <x v="139"/>
      <x v="9"/>
      <x v="7"/>
      <x v="3"/>
    </i>
    <i>
      <x v="140"/>
      <x v="3"/>
      <x v="6"/>
      <x v="2"/>
    </i>
    <i>
      <x v="141"/>
      <x v="9"/>
      <x v="5"/>
      <x/>
    </i>
    <i>
      <x v="142"/>
      <x v="17"/>
      <x v="14"/>
      <x/>
    </i>
    <i>
      <x v="143"/>
      <x v="19"/>
      <x v="13"/>
      <x v="1"/>
    </i>
    <i>
      <x v="144"/>
      <x v="17"/>
      <x v="2"/>
      <x v="1"/>
    </i>
    <i>
      <x v="145"/>
      <x v="15"/>
      <x v="2"/>
      <x v="1"/>
    </i>
    <i>
      <x v="146"/>
      <x v="1"/>
      <x v="12"/>
      <x v="4"/>
    </i>
    <i>
      <x v="147"/>
      <x v="12"/>
      <x v="5"/>
      <x/>
    </i>
    <i>
      <x v="148"/>
      <x v="7"/>
      <x v="16"/>
      <x/>
    </i>
    <i>
      <x v="149"/>
      <x v="2"/>
      <x v="2"/>
      <x v="1"/>
    </i>
    <i>
      <x v="150"/>
      <x v="17"/>
      <x v="1"/>
      <x v="4"/>
    </i>
    <i>
      <x v="151"/>
      <x v="9"/>
      <x v="2"/>
      <x v="1"/>
    </i>
    <i>
      <x v="152"/>
      <x v="19"/>
      <x v="7"/>
      <x v="3"/>
    </i>
    <i>
      <x v="153"/>
      <x v="7"/>
      <x v="19"/>
      <x v="3"/>
    </i>
    <i>
      <x v="154"/>
      <x v="2"/>
      <x v="12"/>
      <x v="4"/>
    </i>
    <i>
      <x v="155"/>
      <x/>
      <x v="6"/>
      <x v="2"/>
    </i>
    <i>
      <x v="156"/>
      <x v="2"/>
      <x v="13"/>
      <x v="1"/>
    </i>
    <i>
      <x v="157"/>
      <x v="18"/>
      <x v="4"/>
      <x v="1"/>
    </i>
    <i>
      <x v="158"/>
      <x v="2"/>
      <x/>
      <x v="2"/>
    </i>
    <i>
      <x v="159"/>
      <x v="19"/>
      <x v="17"/>
      <x v="3"/>
    </i>
    <i>
      <x v="160"/>
      <x v="16"/>
      <x v="12"/>
      <x v="4"/>
    </i>
    <i>
      <x v="161"/>
      <x v="13"/>
      <x v="14"/>
      <x/>
    </i>
    <i>
      <x v="162"/>
      <x v="10"/>
      <x v="11"/>
      <x v="2"/>
    </i>
    <i>
      <x v="163"/>
      <x v="16"/>
      <x v="5"/>
      <x/>
    </i>
    <i>
      <x v="164"/>
      <x v="11"/>
      <x v="20"/>
      <x v="3"/>
    </i>
    <i>
      <x v="165"/>
      <x/>
      <x v="10"/>
      <x/>
    </i>
    <i>
      <x v="166"/>
      <x v="11"/>
      <x v="16"/>
      <x/>
    </i>
    <i>
      <x v="167"/>
      <x v="3"/>
      <x v="16"/>
      <x/>
    </i>
    <i>
      <x v="168"/>
      <x v="10"/>
      <x v="19"/>
      <x v="3"/>
    </i>
    <i>
      <x v="169"/>
      <x v="12"/>
      <x v="10"/>
      <x/>
    </i>
    <i>
      <x v="170"/>
      <x v="6"/>
      <x v="3"/>
      <x v="4"/>
    </i>
    <i>
      <x v="171"/>
      <x v="19"/>
      <x v="1"/>
      <x v="4"/>
    </i>
    <i>
      <x v="172"/>
      <x v="19"/>
      <x v="5"/>
      <x/>
    </i>
    <i>
      <x v="173"/>
      <x v="13"/>
      <x v="16"/>
      <x/>
    </i>
    <i>
      <x v="174"/>
      <x v="19"/>
      <x v="14"/>
      <x/>
    </i>
    <i>
      <x v="175"/>
      <x v="6"/>
      <x v="17"/>
      <x v="3"/>
    </i>
    <i>
      <x v="176"/>
      <x v="7"/>
      <x/>
      <x v="2"/>
    </i>
    <i>
      <x v="177"/>
      <x v="17"/>
      <x v="12"/>
      <x v="4"/>
    </i>
    <i>
      <x v="178"/>
      <x v="13"/>
      <x v="12"/>
      <x v="4"/>
    </i>
    <i>
      <x v="179"/>
      <x v="9"/>
      <x/>
      <x v="2"/>
    </i>
    <i>
      <x v="180"/>
      <x v="18"/>
      <x v="7"/>
      <x v="3"/>
    </i>
    <i>
      <x v="181"/>
      <x v="9"/>
      <x v="8"/>
      <x v="4"/>
    </i>
    <i>
      <x v="182"/>
      <x v="2"/>
      <x v="4"/>
      <x v="1"/>
    </i>
    <i>
      <x v="183"/>
      <x v="4"/>
      <x/>
      <x v="2"/>
    </i>
    <i>
      <x v="184"/>
      <x v="17"/>
      <x v="11"/>
      <x v="2"/>
    </i>
    <i>
      <x v="185"/>
      <x v="9"/>
      <x v="16"/>
      <x/>
    </i>
    <i>
      <x v="186"/>
      <x v="15"/>
      <x v="19"/>
      <x v="3"/>
    </i>
    <i>
      <x v="187"/>
      <x v="16"/>
      <x v="9"/>
      <x v="2"/>
    </i>
    <i>
      <x v="188"/>
      <x/>
      <x v="8"/>
      <x v="4"/>
    </i>
    <i>
      <x v="189"/>
      <x v="5"/>
      <x v="9"/>
      <x v="2"/>
    </i>
    <i>
      <x v="190"/>
      <x v="7"/>
      <x v="19"/>
      <x v="3"/>
    </i>
    <i>
      <x v="191"/>
      <x v="2"/>
      <x v="2"/>
      <x v="1"/>
    </i>
    <i>
      <x v="192"/>
      <x v="9"/>
      <x v="4"/>
      <x v="1"/>
    </i>
    <i>
      <x v="193"/>
      <x v="8"/>
      <x v="12"/>
      <x v="4"/>
    </i>
    <i>
      <x v="194"/>
      <x/>
      <x v="1"/>
      <x v="4"/>
    </i>
    <i>
      <x v="195"/>
      <x v="1"/>
      <x v="11"/>
      <x v="2"/>
    </i>
    <i>
      <x v="196"/>
      <x v="3"/>
      <x v="2"/>
      <x v="1"/>
    </i>
    <i>
      <x v="197"/>
      <x v="9"/>
      <x v="20"/>
      <x v="3"/>
    </i>
    <i>
      <x v="198"/>
      <x v="17"/>
      <x v="2"/>
      <x v="1"/>
    </i>
    <i>
      <x v="199"/>
      <x v="13"/>
      <x v="10"/>
      <x/>
    </i>
    <i>
      <x v="200"/>
      <x v="18"/>
      <x v="11"/>
      <x v="2"/>
    </i>
    <i>
      <x v="201"/>
      <x v="4"/>
      <x v="14"/>
      <x/>
    </i>
    <i>
      <x v="202"/>
      <x v="3"/>
      <x v="14"/>
      <x/>
    </i>
    <i>
      <x v="203"/>
      <x v="14"/>
      <x v="3"/>
      <x v="4"/>
    </i>
    <i>
      <x v="204"/>
      <x v="15"/>
      <x v="10"/>
      <x/>
    </i>
    <i>
      <x v="205"/>
      <x/>
      <x v="12"/>
      <x v="4"/>
    </i>
    <i>
      <x v="206"/>
      <x v="15"/>
      <x v="6"/>
      <x v="2"/>
    </i>
    <i>
      <x v="207"/>
      <x v="12"/>
      <x v="10"/>
      <x/>
    </i>
    <i>
      <x v="208"/>
      <x v="18"/>
      <x v="12"/>
      <x v="4"/>
    </i>
    <i>
      <x v="209"/>
      <x v="6"/>
      <x v="6"/>
      <x v="2"/>
    </i>
    <i>
      <x v="210"/>
      <x v="8"/>
      <x v="16"/>
      <x/>
    </i>
    <i>
      <x v="211"/>
      <x v="10"/>
      <x v="19"/>
      <x v="3"/>
    </i>
    <i>
      <x v="212"/>
      <x v="17"/>
      <x v="7"/>
      <x v="3"/>
    </i>
    <i>
      <x v="213"/>
      <x v="17"/>
      <x v="16"/>
      <x/>
    </i>
    <i>
      <x v="214"/>
      <x v="9"/>
      <x v="6"/>
      <x v="2"/>
    </i>
    <i>
      <x v="215"/>
      <x v="4"/>
      <x v="17"/>
      <x v="3"/>
    </i>
    <i>
      <x v="216"/>
      <x v="8"/>
      <x v="17"/>
      <x v="3"/>
    </i>
    <i>
      <x v="217"/>
      <x v="3"/>
      <x v="12"/>
      <x v="4"/>
    </i>
    <i>
      <x v="218"/>
      <x v="8"/>
      <x v="7"/>
      <x v="3"/>
    </i>
    <i>
      <x v="219"/>
      <x/>
      <x v="1"/>
      <x v="4"/>
    </i>
    <i>
      <x v="220"/>
      <x v="15"/>
      <x v="13"/>
      <x v="1"/>
    </i>
    <i>
      <x v="221"/>
      <x v="7"/>
      <x v="10"/>
      <x/>
    </i>
    <i>
      <x v="222"/>
      <x v="10"/>
      <x v="16"/>
      <x/>
    </i>
    <i>
      <x v="223"/>
      <x v="10"/>
      <x v="17"/>
      <x v="3"/>
    </i>
    <i>
      <x v="224"/>
      <x v="9"/>
      <x v="20"/>
      <x v="3"/>
    </i>
    <i>
      <x v="225"/>
      <x v="12"/>
      <x v="20"/>
      <x v="3"/>
    </i>
    <i>
      <x v="226"/>
      <x v="5"/>
      <x v="12"/>
      <x v="4"/>
    </i>
    <i>
      <x v="227"/>
      <x v="5"/>
      <x v="15"/>
      <x v="1"/>
    </i>
    <i>
      <x v="228"/>
      <x v="17"/>
      <x v="2"/>
      <x v="1"/>
    </i>
    <i>
      <x v="229"/>
      <x v="19"/>
      <x v="6"/>
      <x v="2"/>
    </i>
    <i>
      <x v="230"/>
      <x v="2"/>
      <x v="11"/>
      <x v="2"/>
    </i>
    <i>
      <x v="231"/>
      <x/>
      <x v="11"/>
      <x v="2"/>
    </i>
    <i>
      <x v="232"/>
      <x v="8"/>
      <x v="4"/>
      <x v="1"/>
    </i>
    <i>
      <x v="233"/>
      <x v="18"/>
      <x v="13"/>
      <x v="1"/>
    </i>
    <i>
      <x v="234"/>
      <x v="13"/>
      <x v="8"/>
      <x v="4"/>
    </i>
    <i>
      <x v="235"/>
      <x v="15"/>
      <x v="16"/>
      <x/>
    </i>
    <i>
      <x v="236"/>
      <x v="13"/>
      <x v="13"/>
      <x v="1"/>
    </i>
    <i>
      <x v="237"/>
      <x v="14"/>
      <x v="20"/>
      <x v="3"/>
    </i>
    <i>
      <x v="238"/>
      <x v="19"/>
      <x v="4"/>
      <x v="1"/>
    </i>
    <i>
      <x v="239"/>
      <x v="5"/>
      <x/>
      <x v="2"/>
    </i>
    <i>
      <x v="240"/>
      <x v="9"/>
      <x v="5"/>
      <x/>
    </i>
    <i>
      <x v="241"/>
      <x v="4"/>
      <x v="7"/>
      <x v="3"/>
    </i>
    <i>
      <x v="242"/>
      <x v="17"/>
      <x v="15"/>
      <x v="1"/>
    </i>
    <i>
      <x v="243"/>
      <x v="4"/>
      <x v="20"/>
      <x v="3"/>
    </i>
    <i>
      <x v="244"/>
      <x v="5"/>
      <x v="3"/>
      <x v="4"/>
    </i>
    <i>
      <x v="245"/>
      <x v="16"/>
      <x v="4"/>
      <x v="1"/>
    </i>
    <i>
      <x v="246"/>
      <x v="17"/>
      <x v="11"/>
      <x v="2"/>
    </i>
    <i>
      <x v="247"/>
      <x v="13"/>
      <x v="2"/>
      <x v="1"/>
    </i>
    <i>
      <x v="248"/>
      <x v="14"/>
      <x v="3"/>
      <x v="4"/>
    </i>
    <i>
      <x v="249"/>
      <x v="16"/>
      <x v="8"/>
      <x v="4"/>
    </i>
    <i>
      <x v="250"/>
      <x v="2"/>
      <x v="4"/>
      <x v="1"/>
    </i>
    <i>
      <x v="251"/>
      <x v="2"/>
      <x/>
      <x v="2"/>
    </i>
    <i>
      <x v="252"/>
      <x v="5"/>
      <x v="20"/>
      <x v="3"/>
    </i>
    <i>
      <x v="253"/>
      <x v="12"/>
      <x v="1"/>
      <x v="4"/>
    </i>
    <i>
      <x v="254"/>
      <x v="12"/>
      <x v="15"/>
      <x v="1"/>
    </i>
    <i>
      <x v="255"/>
      <x v="9"/>
      <x v="14"/>
      <x/>
    </i>
    <i>
      <x v="256"/>
      <x v="18"/>
      <x v="19"/>
      <x v="3"/>
    </i>
    <i>
      <x v="257"/>
      <x v="11"/>
      <x v="1"/>
      <x v="4"/>
    </i>
    <i>
      <x v="258"/>
      <x v="19"/>
      <x v="17"/>
      <x v="3"/>
    </i>
    <i>
      <x v="259"/>
      <x v="1"/>
      <x v="9"/>
      <x v="2"/>
    </i>
    <i>
      <x v="260"/>
      <x v="11"/>
      <x v="20"/>
      <x v="3"/>
    </i>
    <i>
      <x v="261"/>
      <x v="19"/>
      <x v="15"/>
      <x v="1"/>
    </i>
    <i>
      <x v="262"/>
      <x v="15"/>
      <x v="7"/>
      <x v="3"/>
    </i>
    <i>
      <x v="263"/>
      <x/>
      <x v="13"/>
      <x v="1"/>
    </i>
    <i>
      <x v="264"/>
      <x v="15"/>
      <x v="16"/>
      <x/>
    </i>
    <i>
      <x v="265"/>
      <x v="16"/>
      <x v="1"/>
      <x v="4"/>
    </i>
    <i>
      <x v="266"/>
      <x v="17"/>
      <x v="12"/>
      <x v="4"/>
    </i>
    <i>
      <x v="267"/>
      <x v="8"/>
      <x v="16"/>
      <x/>
    </i>
    <i>
      <x v="268"/>
      <x v="15"/>
      <x v="16"/>
      <x/>
    </i>
    <i>
      <x v="269"/>
      <x v="12"/>
      <x/>
      <x v="2"/>
    </i>
    <i>
      <x v="270"/>
      <x v="6"/>
      <x v="13"/>
      <x v="1"/>
    </i>
    <i>
      <x v="271"/>
      <x v="17"/>
      <x v="3"/>
      <x v="4"/>
    </i>
    <i>
      <x v="272"/>
      <x v="15"/>
      <x v="3"/>
      <x v="4"/>
    </i>
    <i>
      <x v="273"/>
      <x v="3"/>
      <x v="19"/>
      <x v="3"/>
    </i>
    <i>
      <x v="274"/>
      <x v="18"/>
      <x v="20"/>
      <x v="3"/>
    </i>
    <i>
      <x v="275"/>
      <x v="17"/>
      <x v="1"/>
      <x v="4"/>
    </i>
    <i>
      <x v="276"/>
      <x v="4"/>
      <x v="17"/>
      <x v="3"/>
    </i>
    <i>
      <x v="277"/>
      <x v="17"/>
      <x v="2"/>
      <x v="1"/>
    </i>
    <i>
      <x v="278"/>
      <x v="9"/>
      <x v="3"/>
      <x v="4"/>
    </i>
    <i>
      <x v="279"/>
      <x v="12"/>
      <x v="12"/>
      <x v="4"/>
    </i>
    <i>
      <x v="280"/>
      <x v="14"/>
      <x v="19"/>
      <x v="3"/>
    </i>
    <i>
      <x v="281"/>
      <x v="9"/>
      <x v="15"/>
      <x v="1"/>
    </i>
    <i>
      <x v="282"/>
      <x v="13"/>
      <x v="3"/>
      <x v="4"/>
    </i>
    <i>
      <x v="283"/>
      <x v="9"/>
      <x v="5"/>
      <x/>
    </i>
    <i>
      <x v="284"/>
      <x/>
      <x v="10"/>
      <x/>
    </i>
    <i>
      <x v="285"/>
      <x v="3"/>
      <x v="12"/>
      <x v="4"/>
    </i>
    <i>
      <x v="286"/>
      <x v="10"/>
      <x v="1"/>
      <x v="4"/>
    </i>
    <i>
      <x v="287"/>
      <x v="18"/>
      <x v="1"/>
      <x v="4"/>
    </i>
    <i>
      <x v="288"/>
      <x v="4"/>
      <x v="6"/>
      <x v="2"/>
    </i>
    <i>
      <x v="289"/>
      <x v="11"/>
      <x v="15"/>
      <x v="1"/>
    </i>
    <i>
      <x v="290"/>
      <x v="19"/>
      <x v="5"/>
      <x/>
    </i>
    <i>
      <x v="291"/>
      <x v="19"/>
      <x v="14"/>
      <x/>
    </i>
    <i>
      <x v="292"/>
      <x v="15"/>
      <x v="18"/>
      <x v="2"/>
    </i>
    <i>
      <x v="293"/>
      <x/>
      <x v="3"/>
      <x v="4"/>
    </i>
    <i>
      <x v="294"/>
      <x v="1"/>
      <x v="20"/>
      <x v="3"/>
    </i>
    <i>
      <x v="295"/>
      <x v="14"/>
      <x v="12"/>
      <x v="4"/>
    </i>
    <i>
      <x v="296"/>
      <x v="9"/>
      <x v="15"/>
      <x v="1"/>
    </i>
    <i>
      <x v="297"/>
      <x v="14"/>
      <x v="9"/>
      <x v="2"/>
    </i>
    <i>
      <x v="298"/>
      <x v="6"/>
      <x v="18"/>
      <x v="2"/>
    </i>
    <i>
      <x v="299"/>
      <x v="16"/>
      <x v="2"/>
      <x v="1"/>
    </i>
    <i>
      <x v="300"/>
      <x v="11"/>
      <x v="3"/>
      <x v="4"/>
    </i>
    <i>
      <x v="301"/>
      <x v="1"/>
      <x v="12"/>
      <x v="4"/>
    </i>
    <i>
      <x v="302"/>
      <x v="16"/>
      <x v="18"/>
      <x v="2"/>
    </i>
    <i>
      <x v="303"/>
      <x v="3"/>
      <x v="19"/>
      <x v="3"/>
    </i>
    <i>
      <x v="304"/>
      <x v="5"/>
      <x v="5"/>
      <x/>
    </i>
    <i>
      <x v="305"/>
      <x v="8"/>
      <x v="19"/>
      <x v="3"/>
    </i>
    <i>
      <x v="306"/>
      <x v="17"/>
      <x v="1"/>
      <x v="4"/>
    </i>
    <i>
      <x v="307"/>
      <x v="1"/>
      <x v="20"/>
      <x v="3"/>
    </i>
    <i>
      <x v="308"/>
      <x v="19"/>
      <x v="14"/>
      <x/>
    </i>
    <i>
      <x v="309"/>
      <x v="6"/>
      <x v="19"/>
      <x v="3"/>
    </i>
    <i>
      <x v="310"/>
      <x v="1"/>
      <x v="3"/>
      <x v="4"/>
    </i>
    <i>
      <x v="311"/>
      <x v="11"/>
      <x v="17"/>
      <x v="3"/>
    </i>
    <i>
      <x v="312"/>
      <x v="16"/>
      <x v="8"/>
      <x v="4"/>
    </i>
    <i>
      <x v="313"/>
      <x v="14"/>
      <x v="8"/>
      <x v="4"/>
    </i>
    <i>
      <x v="314"/>
      <x v="3"/>
      <x v="9"/>
      <x v="2"/>
    </i>
    <i>
      <x v="315"/>
      <x v="2"/>
      <x v="4"/>
      <x v="1"/>
    </i>
    <i>
      <x v="316"/>
      <x v="19"/>
      <x v="2"/>
      <x v="1"/>
    </i>
    <i>
      <x v="317"/>
      <x v="6"/>
      <x v="9"/>
      <x v="2"/>
    </i>
    <i>
      <x v="318"/>
      <x v="10"/>
      <x v="14"/>
      <x/>
    </i>
    <i>
      <x v="319"/>
      <x v="19"/>
      <x v="13"/>
      <x v="1"/>
    </i>
    <i>
      <x v="320"/>
      <x v="9"/>
      <x v="11"/>
      <x v="2"/>
    </i>
    <i>
      <x v="321"/>
      <x v="8"/>
      <x v="5"/>
      <x/>
    </i>
    <i>
      <x v="322"/>
      <x v="12"/>
      <x v="17"/>
      <x v="3"/>
    </i>
    <i>
      <x v="323"/>
      <x v="16"/>
      <x v="7"/>
      <x v="3"/>
    </i>
    <i>
      <x v="324"/>
      <x v="19"/>
      <x v="4"/>
      <x v="1"/>
    </i>
    <i>
      <x v="325"/>
      <x v="3"/>
      <x v="3"/>
      <x v="4"/>
    </i>
    <i>
      <x v="326"/>
      <x v="17"/>
      <x v="8"/>
      <x v="4"/>
    </i>
    <i>
      <x v="327"/>
      <x v="12"/>
      <x v="2"/>
      <x v="1"/>
    </i>
    <i>
      <x v="328"/>
      <x v="5"/>
      <x v="2"/>
      <x v="1"/>
    </i>
    <i>
      <x v="329"/>
      <x v="18"/>
      <x v="6"/>
      <x v="2"/>
    </i>
    <i>
      <x v="330"/>
      <x v="4"/>
      <x v="7"/>
      <x v="3"/>
    </i>
    <i>
      <x v="331"/>
      <x v="5"/>
      <x v="11"/>
      <x v="2"/>
    </i>
    <i>
      <x v="332"/>
      <x v="6"/>
      <x v="11"/>
      <x v="2"/>
    </i>
    <i>
      <x v="333"/>
      <x/>
      <x v="8"/>
      <x v="4"/>
    </i>
    <i>
      <x v="334"/>
      <x v="19"/>
      <x v="7"/>
      <x v="3"/>
    </i>
    <i>
      <x v="335"/>
      <x v="4"/>
      <x v="16"/>
      <x/>
    </i>
    <i>
      <x v="336"/>
      <x v="15"/>
      <x v="7"/>
      <x v="3"/>
    </i>
    <i>
      <x v="337"/>
      <x v="5"/>
      <x v="20"/>
      <x v="3"/>
    </i>
    <i>
      <x v="338"/>
      <x v="11"/>
      <x v="19"/>
      <x v="3"/>
    </i>
    <i>
      <x v="339"/>
      <x v="9"/>
      <x v="17"/>
      <x v="3"/>
    </i>
    <i>
      <x v="340"/>
      <x v="11"/>
      <x v="8"/>
      <x v="4"/>
    </i>
    <i>
      <x v="341"/>
      <x v="12"/>
      <x v="1"/>
      <x v="4"/>
    </i>
    <i>
      <x v="342"/>
      <x v="15"/>
      <x v="9"/>
      <x v="2"/>
    </i>
    <i>
      <x v="343"/>
      <x v="17"/>
      <x v="10"/>
      <x/>
    </i>
    <i>
      <x v="344"/>
      <x v="3"/>
      <x/>
      <x v="2"/>
    </i>
    <i>
      <x v="345"/>
      <x v="9"/>
      <x v="2"/>
      <x v="1"/>
    </i>
    <i>
      <x v="346"/>
      <x v="6"/>
      <x v="7"/>
      <x v="3"/>
    </i>
    <i>
      <x v="347"/>
      <x/>
      <x v="13"/>
      <x v="1"/>
    </i>
    <i>
      <x v="348"/>
      <x v="8"/>
      <x v="6"/>
      <x v="2"/>
    </i>
    <i>
      <x v="349"/>
      <x v="14"/>
      <x v="7"/>
      <x v="3"/>
    </i>
    <i>
      <x v="350"/>
      <x v="8"/>
      <x/>
      <x v="2"/>
    </i>
    <i>
      <x v="351"/>
      <x v="9"/>
      <x v="5"/>
      <x/>
    </i>
    <i>
      <x v="352"/>
      <x v="4"/>
      <x v="7"/>
      <x v="3"/>
    </i>
    <i>
      <x v="353"/>
      <x v="15"/>
      <x v="10"/>
      <x/>
    </i>
    <i>
      <x v="354"/>
      <x v="13"/>
      <x v="17"/>
      <x v="3"/>
    </i>
    <i>
      <x v="355"/>
      <x v="9"/>
      <x v="14"/>
      <x/>
    </i>
    <i>
      <x v="356"/>
      <x v="6"/>
      <x v="1"/>
      <x v="4"/>
    </i>
    <i>
      <x v="357"/>
      <x v="3"/>
      <x v="18"/>
      <x v="2"/>
    </i>
    <i>
      <x v="358"/>
      <x v="15"/>
      <x v="20"/>
      <x v="3"/>
    </i>
    <i>
      <x v="359"/>
      <x v="8"/>
      <x v="9"/>
      <x v="2"/>
    </i>
    <i>
      <x v="360"/>
      <x v="19"/>
      <x v="11"/>
      <x v="2"/>
    </i>
    <i>
      <x v="361"/>
      <x v="17"/>
      <x v="2"/>
      <x v="1"/>
    </i>
    <i>
      <x v="362"/>
      <x v="17"/>
      <x v="14"/>
      <x/>
    </i>
    <i>
      <x v="363"/>
      <x v="16"/>
      <x v="10"/>
      <x/>
    </i>
    <i>
      <x v="364"/>
      <x v="5"/>
      <x v="9"/>
      <x v="2"/>
    </i>
    <i>
      <x v="365"/>
      <x v="17"/>
      <x v="5"/>
      <x/>
    </i>
    <i>
      <x v="366"/>
      <x v="1"/>
      <x v="4"/>
      <x v="1"/>
    </i>
    <i>
      <x v="367"/>
      <x v="17"/>
      <x v="14"/>
      <x/>
    </i>
    <i>
      <x v="368"/>
      <x v="12"/>
      <x v="1"/>
      <x v="4"/>
    </i>
    <i>
      <x v="369"/>
      <x v="4"/>
      <x v="4"/>
      <x v="1"/>
    </i>
    <i>
      <x v="370"/>
      <x v="9"/>
      <x v="2"/>
      <x v="1"/>
    </i>
    <i>
      <x v="371"/>
      <x v="2"/>
      <x v="4"/>
      <x v="1"/>
    </i>
    <i>
      <x v="372"/>
      <x v="11"/>
      <x/>
      <x v="2"/>
    </i>
    <i>
      <x v="373"/>
      <x v="5"/>
      <x v="15"/>
      <x v="1"/>
    </i>
    <i>
      <x v="374"/>
      <x v="6"/>
      <x v="18"/>
      <x v="2"/>
    </i>
    <i>
      <x v="375"/>
      <x/>
      <x/>
      <x v="2"/>
    </i>
    <i>
      <x v="376"/>
      <x v="7"/>
      <x v="12"/>
      <x v="4"/>
    </i>
    <i>
      <x v="377"/>
      <x v="14"/>
      <x v="19"/>
      <x v="3"/>
    </i>
    <i>
      <x v="378"/>
      <x v="17"/>
      <x v="20"/>
      <x v="3"/>
    </i>
    <i>
      <x v="379"/>
      <x v="14"/>
      <x v="20"/>
      <x v="3"/>
    </i>
    <i>
      <x v="380"/>
      <x v="8"/>
      <x v="11"/>
      <x v="2"/>
    </i>
    <i>
      <x v="381"/>
      <x v="8"/>
      <x v="12"/>
      <x v="4"/>
    </i>
    <i>
      <x v="382"/>
      <x v="3"/>
      <x v="13"/>
      <x v="1"/>
    </i>
    <i>
      <x v="383"/>
      <x v="13"/>
      <x v="4"/>
      <x v="1"/>
    </i>
    <i>
      <x v="384"/>
      <x v="2"/>
      <x v="15"/>
      <x v="1"/>
    </i>
    <i>
      <x v="385"/>
      <x v="10"/>
      <x v="20"/>
      <x v="3"/>
    </i>
    <i>
      <x v="386"/>
      <x v="6"/>
      <x v="9"/>
      <x v="2"/>
    </i>
    <i>
      <x v="387"/>
      <x v="13"/>
      <x v="7"/>
      <x v="3"/>
    </i>
    <i>
      <x v="388"/>
      <x v="16"/>
      <x v="11"/>
      <x v="2"/>
    </i>
    <i>
      <x v="389"/>
      <x/>
      <x v="1"/>
      <x v="4"/>
    </i>
    <i>
      <x v="390"/>
      <x v="7"/>
      <x v="16"/>
      <x/>
    </i>
    <i>
      <x v="391"/>
      <x v="17"/>
      <x v="4"/>
      <x v="1"/>
    </i>
    <i>
      <x v="392"/>
      <x v="8"/>
      <x v="15"/>
      <x v="1"/>
    </i>
    <i>
      <x v="393"/>
      <x v="7"/>
      <x v="17"/>
      <x v="3"/>
    </i>
    <i>
      <x v="394"/>
      <x v="17"/>
      <x v="5"/>
      <x/>
    </i>
    <i>
      <x v="395"/>
      <x v="7"/>
      <x v="17"/>
      <x v="3"/>
    </i>
    <i>
      <x v="396"/>
      <x v="4"/>
      <x v="17"/>
      <x v="3"/>
    </i>
    <i>
      <x v="397"/>
      <x v="4"/>
      <x v="10"/>
      <x/>
    </i>
    <i>
      <x v="398"/>
      <x v="4"/>
      <x v="1"/>
      <x v="4"/>
    </i>
    <i>
      <x v="399"/>
      <x v="5"/>
      <x v="9"/>
      <x v="2"/>
    </i>
    <i>
      <x v="400"/>
      <x v="10"/>
      <x v="18"/>
      <x v="2"/>
    </i>
    <i>
      <x v="401"/>
      <x v="5"/>
      <x v="2"/>
      <x v="1"/>
    </i>
    <i>
      <x v="402"/>
      <x v="3"/>
      <x v="10"/>
      <x/>
    </i>
    <i>
      <x v="403"/>
      <x v="7"/>
      <x v="20"/>
      <x v="3"/>
    </i>
    <i>
      <x v="404"/>
      <x v="9"/>
      <x v="17"/>
      <x v="3"/>
    </i>
    <i>
      <x v="405"/>
      <x v="5"/>
      <x v="5"/>
      <x/>
    </i>
    <i>
      <x v="406"/>
      <x v="17"/>
      <x v="18"/>
      <x v="2"/>
    </i>
    <i>
      <x v="407"/>
      <x v="14"/>
      <x v="15"/>
      <x v="1"/>
    </i>
    <i>
      <x v="408"/>
      <x v="10"/>
      <x v="1"/>
      <x v="4"/>
    </i>
    <i>
      <x v="409"/>
      <x v="3"/>
      <x v="1"/>
      <x v="4"/>
    </i>
    <i>
      <x v="410"/>
      <x v="1"/>
      <x v="2"/>
      <x v="1"/>
    </i>
    <i>
      <x v="411"/>
      <x/>
      <x v="2"/>
      <x v="1"/>
    </i>
    <i>
      <x v="412"/>
      <x v="11"/>
      <x v="8"/>
      <x v="4"/>
    </i>
    <i>
      <x v="413"/>
      <x v="1"/>
      <x v="16"/>
      <x/>
    </i>
    <i>
      <x v="414"/>
      <x/>
      <x v="3"/>
      <x v="4"/>
    </i>
    <i>
      <x v="415"/>
      <x/>
      <x v="20"/>
      <x v="3"/>
    </i>
    <i>
      <x v="416"/>
      <x v="1"/>
      <x v="10"/>
      <x/>
    </i>
    <i>
      <x v="417"/>
      <x v="8"/>
      <x v="6"/>
      <x v="2"/>
    </i>
    <i>
      <x v="418"/>
      <x v="3"/>
      <x v="2"/>
      <x v="1"/>
    </i>
    <i>
      <x v="419"/>
      <x v="9"/>
      <x v="4"/>
      <x v="1"/>
    </i>
    <i>
      <x v="420"/>
      <x v="4"/>
      <x v="7"/>
      <x v="3"/>
    </i>
    <i>
      <x v="421"/>
      <x v="5"/>
      <x v="1"/>
      <x v="4"/>
    </i>
    <i>
      <x v="422"/>
      <x v="7"/>
      <x v="18"/>
      <x v="2"/>
    </i>
    <i>
      <x v="423"/>
      <x v="19"/>
      <x v="13"/>
      <x v="1"/>
    </i>
    <i>
      <x v="424"/>
      <x v="18"/>
      <x v="12"/>
      <x v="4"/>
    </i>
    <i>
      <x v="425"/>
      <x v="6"/>
      <x v="13"/>
      <x v="1"/>
    </i>
    <i>
      <x v="426"/>
      <x v="8"/>
      <x v="2"/>
      <x v="1"/>
    </i>
    <i>
      <x v="427"/>
      <x v="3"/>
      <x v="16"/>
      <x/>
    </i>
    <i>
      <x v="428"/>
      <x v="16"/>
      <x v="17"/>
      <x v="3"/>
    </i>
    <i>
      <x v="429"/>
      <x v="14"/>
      <x/>
      <x v="2"/>
    </i>
    <i>
      <x v="430"/>
      <x v="1"/>
      <x v="4"/>
      <x v="1"/>
    </i>
    <i>
      <x v="431"/>
      <x v="15"/>
      <x v="12"/>
      <x v="4"/>
    </i>
    <i>
      <x v="432"/>
      <x v="19"/>
      <x v="9"/>
      <x v="2"/>
    </i>
    <i>
      <x v="433"/>
      <x v="4"/>
      <x v="10"/>
      <x/>
    </i>
    <i>
      <x v="434"/>
      <x v="5"/>
      <x v="16"/>
      <x/>
    </i>
    <i>
      <x v="435"/>
      <x v="7"/>
      <x v="13"/>
      <x v="1"/>
    </i>
    <i>
      <x v="436"/>
      <x v="6"/>
      <x v="13"/>
      <x v="1"/>
    </i>
    <i>
      <x v="437"/>
      <x/>
      <x v="19"/>
      <x v="3"/>
    </i>
    <i>
      <x v="438"/>
      <x/>
      <x v="17"/>
      <x v="3"/>
    </i>
    <i>
      <x v="439"/>
      <x v="10"/>
      <x v="4"/>
      <x v="1"/>
    </i>
    <i>
      <x v="440"/>
      <x v="6"/>
      <x v="2"/>
      <x v="1"/>
    </i>
    <i>
      <x v="441"/>
      <x v="2"/>
      <x v="14"/>
      <x/>
    </i>
    <i>
      <x v="442"/>
      <x v="6"/>
      <x v="19"/>
      <x v="3"/>
    </i>
    <i>
      <x v="443"/>
      <x v="12"/>
      <x v="19"/>
      <x v="3"/>
    </i>
    <i>
      <x v="444"/>
      <x v="5"/>
      <x v="20"/>
      <x v="3"/>
    </i>
    <i>
      <x v="445"/>
      <x v="5"/>
      <x v="20"/>
      <x v="3"/>
    </i>
    <i>
      <x v="446"/>
      <x v="8"/>
      <x v="17"/>
      <x v="3"/>
    </i>
    <i>
      <x v="447"/>
      <x v="15"/>
      <x v="3"/>
      <x v="4"/>
    </i>
    <i>
      <x v="448"/>
      <x v="19"/>
      <x v="17"/>
      <x v="3"/>
    </i>
    <i>
      <x v="449"/>
      <x v="10"/>
      <x/>
      <x v="2"/>
    </i>
    <i>
      <x v="450"/>
      <x v="9"/>
      <x v="17"/>
      <x v="3"/>
    </i>
    <i>
      <x v="451"/>
      <x v="16"/>
      <x v="4"/>
      <x v="1"/>
    </i>
    <i>
      <x v="452"/>
      <x v="13"/>
      <x v="1"/>
      <x v="4"/>
    </i>
    <i>
      <x v="453"/>
      <x v="9"/>
      <x v="9"/>
      <x v="2"/>
    </i>
    <i>
      <x v="454"/>
      <x v="18"/>
      <x v="20"/>
      <x v="3"/>
    </i>
    <i>
      <x v="455"/>
      <x v="13"/>
      <x v="20"/>
      <x v="3"/>
    </i>
    <i>
      <x v="456"/>
      <x v="6"/>
      <x/>
      <x v="2"/>
    </i>
    <i>
      <x v="457"/>
      <x v="7"/>
      <x v="18"/>
      <x v="2"/>
    </i>
    <i>
      <x v="458"/>
      <x v="1"/>
      <x v="12"/>
      <x v="4"/>
    </i>
    <i>
      <x v="459"/>
      <x v="9"/>
      <x v="7"/>
      <x v="3"/>
    </i>
    <i>
      <x v="460"/>
      <x v="12"/>
      <x v="19"/>
      <x v="3"/>
    </i>
    <i>
      <x v="461"/>
      <x v="7"/>
      <x v="8"/>
      <x v="4"/>
    </i>
    <i>
      <x v="462"/>
      <x v="14"/>
      <x/>
      <x v="2"/>
    </i>
    <i>
      <x v="463"/>
      <x v="13"/>
      <x v="7"/>
      <x v="3"/>
    </i>
    <i>
      <x v="464"/>
      <x v="14"/>
      <x v="8"/>
      <x v="4"/>
    </i>
    <i>
      <x v="465"/>
      <x v="1"/>
      <x v="8"/>
      <x v="4"/>
    </i>
    <i>
      <x v="466"/>
      <x/>
      <x v="5"/>
      <x/>
    </i>
    <i>
      <x v="467"/>
      <x v="6"/>
      <x v="8"/>
      <x v="4"/>
    </i>
    <i>
      <x v="468"/>
      <x v="10"/>
      <x/>
      <x v="2"/>
    </i>
    <i>
      <x v="469"/>
      <x v="12"/>
      <x v="12"/>
      <x v="4"/>
    </i>
    <i>
      <x v="470"/>
      <x v="4"/>
      <x v="1"/>
      <x v="4"/>
    </i>
    <i>
      <x v="471"/>
      <x v="1"/>
      <x v="13"/>
      <x v="1"/>
    </i>
    <i>
      <x v="472"/>
      <x v="18"/>
      <x v="9"/>
      <x v="2"/>
    </i>
    <i>
      <x v="473"/>
      <x v="12"/>
      <x v="10"/>
      <x/>
    </i>
    <i>
      <x v="474"/>
      <x v="5"/>
      <x v="16"/>
      <x/>
    </i>
    <i>
      <x v="475"/>
      <x v="9"/>
      <x v="12"/>
      <x v="4"/>
    </i>
    <i>
      <x v="476"/>
      <x v="18"/>
      <x v="8"/>
      <x v="4"/>
    </i>
    <i>
      <x v="477"/>
      <x v="4"/>
      <x v="17"/>
      <x v="3"/>
    </i>
    <i>
      <x v="478"/>
      <x v="7"/>
      <x v="1"/>
      <x v="4"/>
    </i>
    <i>
      <x v="479"/>
      <x v="19"/>
      <x v="10"/>
      <x/>
    </i>
    <i>
      <x v="480"/>
      <x v="7"/>
      <x v="2"/>
      <x v="1"/>
    </i>
    <i>
      <x v="481"/>
      <x v="15"/>
      <x v="1"/>
      <x v="4"/>
    </i>
    <i>
      <x v="482"/>
      <x v="11"/>
      <x v="17"/>
      <x v="3"/>
    </i>
    <i>
      <x v="483"/>
      <x v="18"/>
      <x/>
      <x v="2"/>
    </i>
    <i>
      <x v="484"/>
      <x v="6"/>
      <x/>
      <x v="2"/>
    </i>
    <i>
      <x v="485"/>
      <x v="11"/>
      <x/>
      <x v="2"/>
    </i>
    <i>
      <x v="486"/>
      <x v="7"/>
      <x v="20"/>
      <x v="3"/>
    </i>
    <i>
      <x v="487"/>
      <x v="13"/>
      <x v="17"/>
      <x v="3"/>
    </i>
    <i>
      <x v="488"/>
      <x v="5"/>
      <x v="9"/>
      <x v="2"/>
    </i>
    <i>
      <x v="489"/>
      <x v="4"/>
      <x v="10"/>
      <x/>
    </i>
    <i>
      <x v="490"/>
      <x v="9"/>
      <x v="7"/>
      <x v="3"/>
    </i>
    <i>
      <x v="491"/>
      <x v="5"/>
      <x v="5"/>
      <x/>
    </i>
    <i>
      <x v="492"/>
      <x v="12"/>
      <x v="4"/>
      <x v="1"/>
    </i>
    <i>
      <x v="493"/>
      <x v="5"/>
      <x v="14"/>
      <x/>
    </i>
    <i>
      <x v="494"/>
      <x v="14"/>
      <x/>
      <x v="2"/>
    </i>
    <i>
      <x v="495"/>
      <x v="8"/>
      <x v="4"/>
      <x v="1"/>
    </i>
    <i>
      <x v="496"/>
      <x v="16"/>
      <x v="14"/>
      <x/>
    </i>
    <i>
      <x v="497"/>
      <x v="11"/>
      <x v="18"/>
      <x v="2"/>
    </i>
    <i>
      <x v="498"/>
      <x v="1"/>
      <x v="14"/>
      <x/>
    </i>
    <i>
      <x v="499"/>
      <x v="17"/>
      <x/>
      <x v="2"/>
    </i>
    <i t="grand">
      <x/>
    </i>
  </rowItems>
  <colItems count="1">
    <i/>
  </colItems>
  <dataFields count="1">
    <dataField name="Total  Sales" fld="8" baseField="0" baseItem="0"/>
  </dataFields>
  <formats count="1">
    <format dxfId="442">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EF45E-D7BD-47C9-89C7-4F652FAC8130}" name="PivotTable5" cacheId="18"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M2:N8"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3"/>
  </rowFields>
  <rowItems count="6">
    <i>
      <x/>
    </i>
    <i>
      <x v="6"/>
    </i>
    <i>
      <x v="9"/>
    </i>
    <i>
      <x v="11"/>
    </i>
    <i>
      <x v="18"/>
    </i>
    <i t="grand">
      <x/>
    </i>
  </rowItems>
  <colItems count="1">
    <i/>
  </colItems>
  <dataFields count="1">
    <dataField name="Total  Sales" fld="8" baseField="0" baseItem="0"/>
  </dataFields>
  <formats count="1">
    <format dxfId="443">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296FA4-F144-4166-B8F0-756BFC85E234}" name="PivotTable4" cacheId="18"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2:K7"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6">
        <item x="0"/>
        <item x="4"/>
        <item x="2"/>
        <item x="3"/>
        <item x="1"/>
        <item t="default"/>
      </items>
    </pivotField>
    <pivotField showAll="0"/>
    <pivotField showAll="0">
      <items count="5">
        <item x="2"/>
        <item x="0"/>
        <item x="3"/>
        <item x="1"/>
        <item t="default"/>
      </items>
    </pivotField>
    <pivotField axis="axisRow"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7"/>
  </rowFields>
  <rowItems count="5">
    <i>
      <x/>
    </i>
    <i>
      <x v="1"/>
    </i>
    <i>
      <x v="2"/>
    </i>
    <i>
      <x v="3"/>
    </i>
    <i t="grand">
      <x/>
    </i>
  </rowItems>
  <colItems count="1">
    <i/>
  </colItems>
  <dataFields count="1">
    <dataField name="Total  Sales" fld="8" baseField="0" baseItem="0"/>
  </dataFields>
  <formats count="1">
    <format dxfId="444">
      <pivotArea collapsedLevelsAreSubtotals="1"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A78F54-9805-4802-922A-2B7B8562CAAC}" name="PivotTable3" cacheId="18"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2:H8"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4"/>
  </rowFields>
  <rowItems count="6">
    <i>
      <x/>
    </i>
    <i>
      <x v="1"/>
    </i>
    <i>
      <x v="3"/>
    </i>
    <i>
      <x v="4"/>
    </i>
    <i>
      <x v="2"/>
    </i>
    <i t="grand">
      <x/>
    </i>
  </rowItems>
  <colItems count="1">
    <i/>
  </colItems>
  <dataFields count="1">
    <dataField name="Total  Sales" fld="8" baseField="0" baseItem="0"/>
  </dataFields>
  <formats count="1">
    <format dxfId="445">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361EA8-FB68-42FE-AA23-3409241C4FF3}" name="PivotTable2" cacheId="18"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D2:E15"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axis="axisRow" showAll="0">
      <items count="13">
        <item x="10"/>
        <item x="7"/>
        <item x="6"/>
        <item x="2"/>
        <item x="0"/>
        <item x="9"/>
        <item x="4"/>
        <item x="3"/>
        <item x="5"/>
        <item x="1"/>
        <item x="11"/>
        <item x="8"/>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Total  Sales" fld="8" baseField="0" baseItem="0"/>
  </dataFields>
  <formats count="1">
    <format dxfId="446">
      <pivotArea collapsedLevelsAreSubtotals="1"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D7741D-442A-45E3-B109-7418C50091D3}" name="PivotTable1" cacheId="18"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B7" firstHeaderRow="1" firstDataRow="1" firstDataCol="1"/>
  <pivotFields count="13">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dataField="1" showAll="0"/>
    <pivotField dataField="1" showAll="0"/>
    <pivotField dataField="1" showAll="0"/>
    <pivotField showAll="0">
      <items count="13">
        <item x="10"/>
        <item x="7"/>
        <item x="6"/>
        <item x="2"/>
        <item x="0"/>
        <item x="9"/>
        <item x="4"/>
        <item x="3"/>
        <item x="5"/>
        <item x="1"/>
        <item x="11"/>
        <item x="8"/>
        <item t="default"/>
      </items>
    </pivotField>
  </pivotFields>
  <rowFields count="1">
    <field x="-2"/>
  </rowFields>
  <rowItems count="5">
    <i>
      <x/>
    </i>
    <i i="1">
      <x v="1"/>
    </i>
    <i i="2">
      <x v="2"/>
    </i>
    <i i="3">
      <x v="3"/>
    </i>
    <i i="4">
      <x v="4"/>
    </i>
  </rowItems>
  <colItems count="1">
    <i/>
  </colItems>
  <dataFields count="5">
    <dataField name="Count of Order_ID" fld="0" subtotal="count" baseField="0" baseItem="0"/>
    <dataField name="Total  Sales" fld="8" baseField="0" baseItem="0"/>
    <dataField name="Sum of Quantity" fld="9" baseField="0" baseItem="0"/>
    <dataField name="Average of Rating" fld="10" subtotal="average" baseField="0" baseItem="0"/>
    <dataField name="Average of Delivery" fld="11" subtotal="average" baseField="0" baseItem="0"/>
  </dataFields>
  <formats count="4">
    <format dxfId="450">
      <pivotArea collapsedLevelsAreSubtotals="1" fieldPosition="0">
        <references count="1">
          <reference field="4294967294" count="1">
            <x v="4"/>
          </reference>
        </references>
      </pivotArea>
    </format>
    <format dxfId="449">
      <pivotArea collapsedLevelsAreSubtotals="1" fieldPosition="0">
        <references count="1">
          <reference field="4294967294" count="1">
            <x v="3"/>
          </reference>
        </references>
      </pivotArea>
    </format>
    <format dxfId="448">
      <pivotArea collapsedLevelsAreSubtotals="1" fieldPosition="0">
        <references count="1">
          <reference field="4294967294" count="1">
            <x v="1"/>
          </reference>
        </references>
      </pivotArea>
    </format>
    <format dxfId="447">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F2373C57-FF69-4CFE-B4A3-312745EB8391}" sourceName="Seller">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54580631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EE6C90B-8B9D-4377-BDA3-7366445257BA}" sourceName="Payment_Method">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54580631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0CB8658-0D8C-4D83-8B27-BE5F291FB22E}" sourceName="Month">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545806318">
      <items count="12">
        <i x="10" s="1"/>
        <i x="7" s="1"/>
        <i x="6" s="1"/>
        <i x="2" s="1"/>
        <i x="0" s="1"/>
        <i x="9" s="1"/>
        <i x="4" s="1"/>
        <i x="3" s="1"/>
        <i x="5" s="1"/>
        <i x="1"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027FB9BB-BDBC-4558-BA86-CC14D2A04C9E}" cache="Slicer_Seller" caption="Seller" style="SlicerStyleDark1" rowHeight="180000"/>
  <slicer name="Payment_Method" xr10:uid="{DA726BFF-D147-4201-921A-B9408D297B92}" cache="Slicer_Payment_Method" caption="Payment_Method" style="SlicerStyleDark1" rowHeight="180000"/>
  <slicer name="Month" xr10:uid="{FEAEC6E0-40C0-44F2-A3F0-94D0E04C0BEC}" cache="Slicer_Month" caption="Month" columnCount="2"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0D071-5323-4C66-BA22-00F82BF17697}" name="Table2" displayName="Table2" ref="A1:M501" totalsRowShown="0">
  <autoFilter ref="A1:M501" xr:uid="{2480D071-5323-4C66-BA22-00F82BF17697}"/>
  <tableColumns count="13">
    <tableColumn id="1" xr3:uid="{4619DDE8-E45E-40F5-9CDE-83F49B529241}" name="Order_ID"/>
    <tableColumn id="2" xr3:uid="{135ACC30-3CAE-4A4B-B5CB-59E5AD460DD3}" name="Date"/>
    <tableColumn id="3" xr3:uid="{CAE3042A-9808-464A-BC2A-9A5D7F3F309C}" name="Customer_Name"/>
    <tableColumn id="4" xr3:uid="{FB80DA67-A5C8-4B90-A1EF-46E18B030293}" name="Product"/>
    <tableColumn id="5" xr3:uid="{5E81FBA1-71A1-4F40-BD7A-FBF54904BE1A}" name="Category"/>
    <tableColumn id="6" xr3:uid="{2F226CA1-19E8-4AB1-A5D6-BBE87C5DB869}" name="State"/>
    <tableColumn id="7" xr3:uid="{F8102C39-594C-41AC-9686-541DDD1537E7}" name="Seller"/>
    <tableColumn id="8" xr3:uid="{0A8097C8-83EB-4DE0-A641-267C0F4EFC44}" name="Payment_Method"/>
    <tableColumn id="9" xr3:uid="{081A5C4B-54A1-4BBF-A014-0EBBF3191B2D}" name="Sales"/>
    <tableColumn id="10" xr3:uid="{C9E67D15-90D1-48D9-862A-8498B31085A7}" name="Quantity"/>
    <tableColumn id="11" xr3:uid="{AE998671-AC4D-4B9A-AFF2-4F542F21E837}" name="Rating"/>
    <tableColumn id="12" xr3:uid="{49941C77-18ED-46A5-8B32-A178909E271D}" name="Delivery"/>
    <tableColumn id="13" xr3:uid="{7F51789C-1BBD-40A2-89EF-B0174FE343E5}" name="Month"/>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CA58-02BE-4311-B3FA-6A90C2FCC35F}">
  <sheetPr>
    <tabColor theme="3" tint="0.249977111117893"/>
  </sheetPr>
  <dimension ref="A1"/>
  <sheetViews>
    <sheetView showGridLines="0" tabSelected="1" workbookViewId="0">
      <selection activeCell="S13" sqref="S13"/>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2D54-EC80-4F20-BD1F-5658BA210E6E}">
  <sheetPr>
    <tabColor theme="9" tint="-0.249977111117893"/>
  </sheetPr>
  <dimension ref="A2:AG504"/>
  <sheetViews>
    <sheetView showGridLines="0" topLeftCell="L1" zoomScaleNormal="100" workbookViewId="0">
      <selection activeCell="X14" sqref="X14"/>
    </sheetView>
  </sheetViews>
  <sheetFormatPr defaultRowHeight="14.4" x14ac:dyDescent="0.3"/>
  <cols>
    <col min="1" max="1" width="16.109375" bestFit="1" customWidth="1"/>
    <col min="2" max="2" width="9" bestFit="1" customWidth="1"/>
    <col min="3" max="3" width="14.21875" bestFit="1" customWidth="1"/>
    <col min="4" max="4" width="15.109375" bestFit="1" customWidth="1"/>
    <col min="5" max="5" width="16.6640625" bestFit="1" customWidth="1"/>
    <col min="22" max="22" width="11.33203125" customWidth="1"/>
    <col min="26" max="26" width="12.6640625" bestFit="1" customWidth="1"/>
  </cols>
  <sheetData>
    <row r="2" spans="1:33" x14ac:dyDescent="0.3">
      <c r="A2" s="1" t="s">
        <v>867</v>
      </c>
      <c r="D2" s="1" t="s">
        <v>860</v>
      </c>
      <c r="E2" t="s">
        <v>868</v>
      </c>
      <c r="G2" s="1" t="s">
        <v>860</v>
      </c>
      <c r="H2" t="s">
        <v>868</v>
      </c>
      <c r="J2" s="1" t="s">
        <v>860</v>
      </c>
      <c r="K2" t="s">
        <v>868</v>
      </c>
      <c r="M2" s="1" t="s">
        <v>860</v>
      </c>
      <c r="N2" t="s">
        <v>868</v>
      </c>
      <c r="P2" s="1" t="s">
        <v>868</v>
      </c>
      <c r="AB2" s="1" t="s">
        <v>860</v>
      </c>
      <c r="AC2" t="s">
        <v>863</v>
      </c>
      <c r="AE2" s="10" t="s">
        <v>5</v>
      </c>
      <c r="AF2" s="10" t="s">
        <v>8</v>
      </c>
      <c r="AG2" s="10" t="s">
        <v>871</v>
      </c>
    </row>
    <row r="3" spans="1:33" x14ac:dyDescent="0.3">
      <c r="A3" s="2" t="s">
        <v>862</v>
      </c>
      <c r="B3" s="3">
        <v>500</v>
      </c>
      <c r="D3" s="2" t="s">
        <v>144</v>
      </c>
      <c r="E3" s="5">
        <v>1480730</v>
      </c>
      <c r="G3" s="2" t="s">
        <v>17</v>
      </c>
      <c r="H3" s="5">
        <v>490618</v>
      </c>
      <c r="J3" s="2" t="s">
        <v>36</v>
      </c>
      <c r="K3" s="5">
        <v>5522910</v>
      </c>
      <c r="M3" s="2" t="s">
        <v>97</v>
      </c>
      <c r="N3" s="5">
        <v>5398413</v>
      </c>
      <c r="P3" s="1" t="s">
        <v>0</v>
      </c>
      <c r="Q3" s="1" t="s">
        <v>2</v>
      </c>
      <c r="R3" s="1" t="s">
        <v>3</v>
      </c>
      <c r="S3" s="1" t="s">
        <v>4</v>
      </c>
      <c r="T3" t="s">
        <v>869</v>
      </c>
      <c r="V3" s="8" t="s">
        <v>0</v>
      </c>
      <c r="W3" s="8" t="s">
        <v>2</v>
      </c>
      <c r="X3" s="8" t="s">
        <v>3</v>
      </c>
      <c r="Y3" s="8" t="s">
        <v>4</v>
      </c>
      <c r="Z3" s="8" t="s">
        <v>870</v>
      </c>
      <c r="AB3" s="2" t="s">
        <v>83</v>
      </c>
      <c r="AC3" s="5">
        <v>3353882</v>
      </c>
      <c r="AE3" s="11" t="str">
        <f>AB3</f>
        <v>Delhi</v>
      </c>
      <c r="AF3" s="12">
        <f t="shared" ref="AF3:AF4" si="0">AC3</f>
        <v>3353882</v>
      </c>
      <c r="AG3" s="13">
        <f>AF3/$AF$9</f>
        <v>0.14578028382255265</v>
      </c>
    </row>
    <row r="4" spans="1:33" x14ac:dyDescent="0.3">
      <c r="A4" s="2" t="s">
        <v>868</v>
      </c>
      <c r="B4" s="5">
        <v>23006417</v>
      </c>
      <c r="D4" s="2" t="s">
        <v>87</v>
      </c>
      <c r="E4" s="5">
        <v>1991453</v>
      </c>
      <c r="G4" s="2" t="s">
        <v>52</v>
      </c>
      <c r="H4" s="5">
        <v>570604</v>
      </c>
      <c r="J4" s="2" t="s">
        <v>20</v>
      </c>
      <c r="K4" s="5">
        <v>5037484</v>
      </c>
      <c r="M4" s="2" t="s">
        <v>34</v>
      </c>
      <c r="N4" s="5">
        <v>2352917</v>
      </c>
      <c r="P4" t="s">
        <v>13</v>
      </c>
      <c r="Q4" t="s">
        <v>15</v>
      </c>
      <c r="R4" t="s">
        <v>16</v>
      </c>
      <c r="S4" t="s">
        <v>17</v>
      </c>
      <c r="T4" s="5">
        <v>3028</v>
      </c>
      <c r="V4" t="str">
        <f>P4</f>
        <v>ORD10001</v>
      </c>
      <c r="W4" t="str">
        <f t="shared" ref="W4:Z9" si="1">Q4</f>
        <v>Rohit</v>
      </c>
      <c r="X4" t="str">
        <f t="shared" si="1"/>
        <v>Shampoo</v>
      </c>
      <c r="Y4" t="str">
        <f t="shared" si="1"/>
        <v>Beauty</v>
      </c>
      <c r="Z4" s="7">
        <f t="shared" si="1"/>
        <v>3028</v>
      </c>
      <c r="AB4" s="2" t="s">
        <v>27</v>
      </c>
      <c r="AC4" s="5">
        <v>4389497</v>
      </c>
      <c r="AE4" s="11" t="str">
        <f t="shared" ref="AE4:AE8" si="2">AB4</f>
        <v>Gujrat</v>
      </c>
      <c r="AF4" s="12">
        <f t="shared" si="0"/>
        <v>4389497</v>
      </c>
      <c r="AG4" s="13">
        <f t="shared" ref="AG4:AG9" si="3">AF4/$AF$9</f>
        <v>0.19079446399671882</v>
      </c>
    </row>
    <row r="5" spans="1:33" x14ac:dyDescent="0.3">
      <c r="A5" s="2" t="s">
        <v>864</v>
      </c>
      <c r="B5" s="6">
        <v>2280</v>
      </c>
      <c r="D5" s="2" t="s">
        <v>80</v>
      </c>
      <c r="E5" s="5">
        <v>2439516</v>
      </c>
      <c r="G5" s="2" t="s">
        <v>42</v>
      </c>
      <c r="H5" s="5">
        <v>1790583</v>
      </c>
      <c r="J5" s="2" t="s">
        <v>29</v>
      </c>
      <c r="K5" s="5">
        <v>6132531</v>
      </c>
      <c r="M5" s="2" t="s">
        <v>113</v>
      </c>
      <c r="N5" s="5">
        <v>2432276</v>
      </c>
      <c r="P5" t="s">
        <v>22</v>
      </c>
      <c r="Q5" t="s">
        <v>24</v>
      </c>
      <c r="R5" t="s">
        <v>25</v>
      </c>
      <c r="S5" t="s">
        <v>26</v>
      </c>
      <c r="T5" s="5">
        <v>32636</v>
      </c>
      <c r="V5" t="str">
        <f t="shared" ref="V5:V8" si="4">P5</f>
        <v>ORD10002</v>
      </c>
      <c r="W5" t="str">
        <f t="shared" si="1"/>
        <v>Kavya</v>
      </c>
      <c r="X5" t="str">
        <f t="shared" si="1"/>
        <v>Chair</v>
      </c>
      <c r="Y5" t="str">
        <f t="shared" si="1"/>
        <v>Home</v>
      </c>
      <c r="Z5" s="7">
        <f t="shared" si="1"/>
        <v>32636</v>
      </c>
      <c r="AB5" s="2" t="s">
        <v>18</v>
      </c>
      <c r="AC5" s="5">
        <v>5312858</v>
      </c>
      <c r="AE5" s="11" t="str">
        <f t="shared" si="2"/>
        <v>Karnataka</v>
      </c>
      <c r="AF5" s="12">
        <f>AC5</f>
        <v>5312858</v>
      </c>
      <c r="AG5" s="13">
        <f t="shared" si="3"/>
        <v>0.23092939678525343</v>
      </c>
    </row>
    <row r="6" spans="1:33" x14ac:dyDescent="0.3">
      <c r="A6" s="2" t="s">
        <v>865</v>
      </c>
      <c r="B6" s="4">
        <v>4.1180000000000021</v>
      </c>
      <c r="D6" s="2" t="s">
        <v>37</v>
      </c>
      <c r="E6" s="5">
        <v>1723736</v>
      </c>
      <c r="G6" s="2" t="s">
        <v>26</v>
      </c>
      <c r="H6" s="5">
        <v>2691079</v>
      </c>
      <c r="J6" s="2" t="s">
        <v>64</v>
      </c>
      <c r="K6" s="5">
        <v>6313492</v>
      </c>
      <c r="M6" s="2" t="s">
        <v>130</v>
      </c>
      <c r="N6" s="5">
        <v>3842259</v>
      </c>
      <c r="P6" t="s">
        <v>31</v>
      </c>
      <c r="Q6" t="s">
        <v>33</v>
      </c>
      <c r="R6" t="s">
        <v>34</v>
      </c>
      <c r="S6" t="s">
        <v>35</v>
      </c>
      <c r="T6" s="5">
        <v>313782</v>
      </c>
      <c r="V6" t="str">
        <f t="shared" si="4"/>
        <v>ORD10003</v>
      </c>
      <c r="W6" t="str">
        <f t="shared" si="1"/>
        <v>Neha</v>
      </c>
      <c r="X6" t="str">
        <f t="shared" si="1"/>
        <v>iPhone 15</v>
      </c>
      <c r="Y6" t="str">
        <f t="shared" si="1"/>
        <v>Electronics</v>
      </c>
      <c r="Z6" s="7">
        <f t="shared" si="1"/>
        <v>313782</v>
      </c>
      <c r="AB6" s="2" t="s">
        <v>60</v>
      </c>
      <c r="AC6" s="5">
        <v>3463152</v>
      </c>
      <c r="AE6" s="11" t="str">
        <f t="shared" si="2"/>
        <v>Maharashtra</v>
      </c>
      <c r="AF6" s="12">
        <f t="shared" ref="AF6:AF8" si="5">AC6</f>
        <v>3463152</v>
      </c>
      <c r="AG6" s="13">
        <f t="shared" si="3"/>
        <v>0.15052982826487063</v>
      </c>
    </row>
    <row r="7" spans="1:33" x14ac:dyDescent="0.3">
      <c r="A7" s="2" t="s">
        <v>866</v>
      </c>
      <c r="B7" s="4">
        <v>4.2919999999999998</v>
      </c>
      <c r="D7" s="2" t="s">
        <v>21</v>
      </c>
      <c r="E7" s="5">
        <v>2226405</v>
      </c>
      <c r="G7" s="2" t="s">
        <v>35</v>
      </c>
      <c r="H7" s="5">
        <v>17463533</v>
      </c>
      <c r="J7" s="2" t="s">
        <v>861</v>
      </c>
      <c r="K7" s="5">
        <v>23006417</v>
      </c>
      <c r="M7" s="2" t="s">
        <v>165</v>
      </c>
      <c r="N7" s="5">
        <v>3437668</v>
      </c>
      <c r="P7" t="s">
        <v>38</v>
      </c>
      <c r="Q7" t="s">
        <v>40</v>
      </c>
      <c r="R7" t="s">
        <v>41</v>
      </c>
      <c r="S7" t="s">
        <v>42</v>
      </c>
      <c r="T7" s="5">
        <v>11375</v>
      </c>
      <c r="V7" t="str">
        <f t="shared" si="4"/>
        <v>ORD10004</v>
      </c>
      <c r="W7" t="str">
        <f>Q7</f>
        <v>Rahul</v>
      </c>
      <c r="X7" t="str">
        <f t="shared" si="1"/>
        <v>Shoes</v>
      </c>
      <c r="Y7" t="str">
        <f t="shared" si="1"/>
        <v>Fashion</v>
      </c>
      <c r="Z7" s="7">
        <f t="shared" si="1"/>
        <v>11375</v>
      </c>
      <c r="AB7" s="2" t="s">
        <v>100</v>
      </c>
      <c r="AC7" s="5">
        <v>3050638</v>
      </c>
      <c r="AE7" s="11" t="str">
        <f t="shared" si="2"/>
        <v>Tamil Nadu</v>
      </c>
      <c r="AF7" s="12">
        <f t="shared" si="5"/>
        <v>3050638</v>
      </c>
      <c r="AG7" s="13">
        <f t="shared" si="3"/>
        <v>0.13259943953897732</v>
      </c>
    </row>
    <row r="8" spans="1:33" x14ac:dyDescent="0.3">
      <c r="D8" s="2" t="s">
        <v>126</v>
      </c>
      <c r="E8" s="5">
        <v>1483670</v>
      </c>
      <c r="G8" s="2" t="s">
        <v>861</v>
      </c>
      <c r="H8" s="5">
        <v>23006417</v>
      </c>
      <c r="M8" s="2" t="s">
        <v>861</v>
      </c>
      <c r="N8" s="5">
        <v>17463533</v>
      </c>
      <c r="P8" t="s">
        <v>43</v>
      </c>
      <c r="Q8" t="s">
        <v>45</v>
      </c>
      <c r="R8" t="s">
        <v>46</v>
      </c>
      <c r="S8" t="s">
        <v>42</v>
      </c>
      <c r="T8" s="5">
        <v>14496</v>
      </c>
      <c r="V8" t="str">
        <f t="shared" si="4"/>
        <v>ORD10005</v>
      </c>
      <c r="W8" t="str">
        <f t="shared" si="1"/>
        <v>Akash</v>
      </c>
      <c r="X8" t="str">
        <f t="shared" si="1"/>
        <v>Jeans</v>
      </c>
      <c r="Y8" t="str">
        <f t="shared" si="1"/>
        <v>Fashion</v>
      </c>
      <c r="Z8" s="7">
        <f t="shared" si="1"/>
        <v>14496</v>
      </c>
      <c r="AB8" s="2" t="s">
        <v>53</v>
      </c>
      <c r="AC8" s="5">
        <v>3436390</v>
      </c>
      <c r="AE8" s="11" t="str">
        <f t="shared" si="2"/>
        <v>Telangana</v>
      </c>
      <c r="AF8" s="12">
        <f t="shared" si="5"/>
        <v>3436390</v>
      </c>
      <c r="AG8" s="13">
        <f t="shared" si="3"/>
        <v>0.14936658759162716</v>
      </c>
    </row>
    <row r="9" spans="1:33" x14ac:dyDescent="0.3">
      <c r="D9" s="2" t="s">
        <v>55</v>
      </c>
      <c r="E9" s="5">
        <v>2566476</v>
      </c>
      <c r="P9" t="s">
        <v>48</v>
      </c>
      <c r="Q9" t="s">
        <v>50</v>
      </c>
      <c r="R9" t="s">
        <v>51</v>
      </c>
      <c r="S9" t="s">
        <v>52</v>
      </c>
      <c r="T9" s="5">
        <v>5745</v>
      </c>
      <c r="V9" t="str">
        <f>P9</f>
        <v>ORD10006</v>
      </c>
      <c r="W9" t="str">
        <f t="shared" si="1"/>
        <v>Anjali</v>
      </c>
      <c r="X9" t="str">
        <f t="shared" si="1"/>
        <v>Business Book</v>
      </c>
      <c r="Y9" t="str">
        <f t="shared" si="1"/>
        <v>Books</v>
      </c>
      <c r="Z9" s="7">
        <f t="shared" si="1"/>
        <v>5745</v>
      </c>
      <c r="AB9" s="2" t="s">
        <v>861</v>
      </c>
      <c r="AC9" s="5">
        <v>23006417</v>
      </c>
      <c r="AE9" s="10" t="s">
        <v>869</v>
      </c>
      <c r="AF9" s="14">
        <f>SUM(AF3:AF8)</f>
        <v>23006417</v>
      </c>
      <c r="AG9" s="15">
        <f t="shared" si="3"/>
        <v>1</v>
      </c>
    </row>
    <row r="10" spans="1:33" x14ac:dyDescent="0.3">
      <c r="D10" s="2" t="s">
        <v>47</v>
      </c>
      <c r="E10" s="5">
        <v>1323566</v>
      </c>
      <c r="P10" t="s">
        <v>56</v>
      </c>
      <c r="Q10" t="s">
        <v>58</v>
      </c>
      <c r="R10" t="s">
        <v>59</v>
      </c>
      <c r="S10" t="s">
        <v>26</v>
      </c>
      <c r="T10" s="5">
        <v>24696</v>
      </c>
      <c r="V10" s="8" t="s">
        <v>869</v>
      </c>
      <c r="W10" s="8"/>
      <c r="X10" s="8"/>
      <c r="Y10" s="8"/>
      <c r="Z10" s="9">
        <f>SUM(Z4:Z9)</f>
        <v>381062</v>
      </c>
    </row>
    <row r="11" spans="1:33" x14ac:dyDescent="0.3">
      <c r="D11" s="2" t="s">
        <v>65</v>
      </c>
      <c r="E11" s="5">
        <v>1648464</v>
      </c>
      <c r="P11" t="s">
        <v>61</v>
      </c>
      <c r="Q11" t="s">
        <v>45</v>
      </c>
      <c r="R11" t="s">
        <v>63</v>
      </c>
      <c r="S11" t="s">
        <v>52</v>
      </c>
      <c r="T11" s="5">
        <v>3536</v>
      </c>
    </row>
    <row r="12" spans="1:33" x14ac:dyDescent="0.3">
      <c r="D12" s="2" t="s">
        <v>30</v>
      </c>
      <c r="E12" s="5">
        <v>1876219</v>
      </c>
      <c r="P12" t="s">
        <v>66</v>
      </c>
      <c r="Q12" t="s">
        <v>68</v>
      </c>
      <c r="R12" t="s">
        <v>69</v>
      </c>
      <c r="S12" t="s">
        <v>26</v>
      </c>
      <c r="T12" s="5">
        <v>25855</v>
      </c>
    </row>
    <row r="13" spans="1:33" x14ac:dyDescent="0.3">
      <c r="D13" s="2" t="s">
        <v>192</v>
      </c>
      <c r="E13" s="5">
        <v>948995</v>
      </c>
      <c r="P13" t="s">
        <v>70</v>
      </c>
      <c r="Q13" t="s">
        <v>72</v>
      </c>
      <c r="R13" t="s">
        <v>41</v>
      </c>
      <c r="S13" t="s">
        <v>42</v>
      </c>
      <c r="T13" s="5">
        <v>9432</v>
      </c>
    </row>
    <row r="14" spans="1:33" x14ac:dyDescent="0.3">
      <c r="D14" s="2" t="s">
        <v>119</v>
      </c>
      <c r="E14" s="5">
        <v>3297187</v>
      </c>
      <c r="P14" t="s">
        <v>73</v>
      </c>
      <c r="Q14" t="s">
        <v>75</v>
      </c>
      <c r="R14" t="s">
        <v>59</v>
      </c>
      <c r="S14" t="s">
        <v>26</v>
      </c>
      <c r="T14" s="5">
        <v>1749</v>
      </c>
    </row>
    <row r="15" spans="1:33" x14ac:dyDescent="0.3">
      <c r="D15" s="2" t="s">
        <v>861</v>
      </c>
      <c r="E15" s="5">
        <v>23006417</v>
      </c>
      <c r="P15" t="s">
        <v>76</v>
      </c>
      <c r="Q15" t="s">
        <v>78</v>
      </c>
      <c r="R15" t="s">
        <v>79</v>
      </c>
      <c r="S15" t="s">
        <v>26</v>
      </c>
      <c r="T15" s="5">
        <v>85904</v>
      </c>
    </row>
    <row r="16" spans="1:33" x14ac:dyDescent="0.3">
      <c r="P16" t="s">
        <v>81</v>
      </c>
      <c r="Q16" t="s">
        <v>58</v>
      </c>
      <c r="R16" t="s">
        <v>46</v>
      </c>
      <c r="S16" t="s">
        <v>42</v>
      </c>
      <c r="T16" s="5">
        <v>9792</v>
      </c>
    </row>
    <row r="17" spans="16:20" x14ac:dyDescent="0.3">
      <c r="P17" t="s">
        <v>84</v>
      </c>
      <c r="Q17" t="s">
        <v>78</v>
      </c>
      <c r="R17" t="s">
        <v>86</v>
      </c>
      <c r="S17" t="s">
        <v>17</v>
      </c>
      <c r="T17" s="5">
        <v>976</v>
      </c>
    </row>
    <row r="18" spans="16:20" x14ac:dyDescent="0.3">
      <c r="P18" t="s">
        <v>88</v>
      </c>
      <c r="Q18" t="s">
        <v>68</v>
      </c>
      <c r="R18" t="s">
        <v>90</v>
      </c>
      <c r="S18" t="s">
        <v>42</v>
      </c>
      <c r="T18" s="5">
        <v>8338</v>
      </c>
    </row>
    <row r="19" spans="16:20" x14ac:dyDescent="0.3">
      <c r="P19" t="s">
        <v>91</v>
      </c>
      <c r="Q19" t="s">
        <v>75</v>
      </c>
      <c r="R19" t="s">
        <v>86</v>
      </c>
      <c r="S19" t="s">
        <v>17</v>
      </c>
      <c r="T19" s="5">
        <v>5592</v>
      </c>
    </row>
    <row r="20" spans="16:20" x14ac:dyDescent="0.3">
      <c r="P20" t="s">
        <v>93</v>
      </c>
      <c r="Q20" t="s">
        <v>24</v>
      </c>
      <c r="R20" t="s">
        <v>25</v>
      </c>
      <c r="S20" t="s">
        <v>26</v>
      </c>
      <c r="T20" s="5">
        <v>17208</v>
      </c>
    </row>
    <row r="21" spans="16:20" x14ac:dyDescent="0.3">
      <c r="P21" t="s">
        <v>95</v>
      </c>
      <c r="Q21" t="s">
        <v>58</v>
      </c>
      <c r="R21" t="s">
        <v>97</v>
      </c>
      <c r="S21" t="s">
        <v>35</v>
      </c>
      <c r="T21" s="5">
        <v>159523</v>
      </c>
    </row>
    <row r="22" spans="16:20" x14ac:dyDescent="0.3">
      <c r="P22" t="s">
        <v>98</v>
      </c>
      <c r="Q22" t="s">
        <v>75</v>
      </c>
      <c r="R22" t="s">
        <v>16</v>
      </c>
      <c r="S22" t="s">
        <v>17</v>
      </c>
      <c r="T22" s="5">
        <v>10632</v>
      </c>
    </row>
    <row r="23" spans="16:20" x14ac:dyDescent="0.3">
      <c r="P23" t="s">
        <v>101</v>
      </c>
      <c r="Q23" t="s">
        <v>103</v>
      </c>
      <c r="R23" t="s">
        <v>41</v>
      </c>
      <c r="S23" t="s">
        <v>42</v>
      </c>
      <c r="T23" s="5">
        <v>5484</v>
      </c>
    </row>
    <row r="24" spans="16:20" x14ac:dyDescent="0.3">
      <c r="P24" t="s">
        <v>105</v>
      </c>
      <c r="Q24" t="s">
        <v>75</v>
      </c>
      <c r="R24" t="s">
        <v>97</v>
      </c>
      <c r="S24" t="s">
        <v>35</v>
      </c>
      <c r="T24" s="5">
        <v>60040</v>
      </c>
    </row>
    <row r="25" spans="16:20" x14ac:dyDescent="0.3">
      <c r="P25" t="s">
        <v>107</v>
      </c>
      <c r="Q25" t="s">
        <v>78</v>
      </c>
      <c r="R25" t="s">
        <v>109</v>
      </c>
      <c r="S25" t="s">
        <v>52</v>
      </c>
      <c r="T25" s="5">
        <v>5668</v>
      </c>
    </row>
    <row r="26" spans="16:20" x14ac:dyDescent="0.3">
      <c r="P26" t="s">
        <v>110</v>
      </c>
      <c r="Q26" t="s">
        <v>112</v>
      </c>
      <c r="R26" t="s">
        <v>113</v>
      </c>
      <c r="S26" t="s">
        <v>35</v>
      </c>
      <c r="T26" s="5">
        <v>245328</v>
      </c>
    </row>
    <row r="27" spans="16:20" x14ac:dyDescent="0.3">
      <c r="P27" t="s">
        <v>114</v>
      </c>
      <c r="Q27" t="s">
        <v>78</v>
      </c>
      <c r="R27" t="s">
        <v>116</v>
      </c>
      <c r="S27" t="s">
        <v>17</v>
      </c>
      <c r="T27" s="5">
        <v>307</v>
      </c>
    </row>
    <row r="28" spans="16:20" x14ac:dyDescent="0.3">
      <c r="P28" t="s">
        <v>117</v>
      </c>
      <c r="Q28" t="s">
        <v>33</v>
      </c>
      <c r="R28" t="s">
        <v>16</v>
      </c>
      <c r="S28" t="s">
        <v>17</v>
      </c>
      <c r="T28" s="5">
        <v>4251</v>
      </c>
    </row>
    <row r="29" spans="16:20" x14ac:dyDescent="0.3">
      <c r="P29" t="s">
        <v>120</v>
      </c>
      <c r="Q29" t="s">
        <v>122</v>
      </c>
      <c r="R29" t="s">
        <v>34</v>
      </c>
      <c r="S29" t="s">
        <v>35</v>
      </c>
      <c r="T29" s="5">
        <v>195428</v>
      </c>
    </row>
    <row r="30" spans="16:20" x14ac:dyDescent="0.3">
      <c r="P30" t="s">
        <v>123</v>
      </c>
      <c r="Q30" t="s">
        <v>125</v>
      </c>
      <c r="R30" t="s">
        <v>86</v>
      </c>
      <c r="S30" t="s">
        <v>17</v>
      </c>
      <c r="T30" s="5">
        <v>11697</v>
      </c>
    </row>
    <row r="31" spans="16:20" x14ac:dyDescent="0.3">
      <c r="P31" t="s">
        <v>127</v>
      </c>
      <c r="Q31" t="s">
        <v>129</v>
      </c>
      <c r="R31" t="s">
        <v>130</v>
      </c>
      <c r="S31" t="s">
        <v>35</v>
      </c>
      <c r="T31" s="5">
        <v>218908</v>
      </c>
    </row>
    <row r="32" spans="16:20" x14ac:dyDescent="0.3">
      <c r="P32" t="s">
        <v>131</v>
      </c>
      <c r="Q32" t="s">
        <v>133</v>
      </c>
      <c r="R32" t="s">
        <v>16</v>
      </c>
      <c r="S32" t="s">
        <v>17</v>
      </c>
      <c r="T32" s="5">
        <v>4467</v>
      </c>
    </row>
    <row r="33" spans="16:20" x14ac:dyDescent="0.3">
      <c r="P33" t="s">
        <v>134</v>
      </c>
      <c r="Q33" t="s">
        <v>129</v>
      </c>
      <c r="R33" t="s">
        <v>79</v>
      </c>
      <c r="S33" t="s">
        <v>26</v>
      </c>
      <c r="T33" s="5">
        <v>9621</v>
      </c>
    </row>
    <row r="34" spans="16:20" x14ac:dyDescent="0.3">
      <c r="P34" t="s">
        <v>136</v>
      </c>
      <c r="Q34" t="s">
        <v>40</v>
      </c>
      <c r="R34" t="s">
        <v>59</v>
      </c>
      <c r="S34" t="s">
        <v>26</v>
      </c>
      <c r="T34" s="5">
        <v>23452</v>
      </c>
    </row>
    <row r="35" spans="16:20" x14ac:dyDescent="0.3">
      <c r="P35" t="s">
        <v>138</v>
      </c>
      <c r="Q35" t="s">
        <v>133</v>
      </c>
      <c r="R35" t="s">
        <v>90</v>
      </c>
      <c r="S35" t="s">
        <v>42</v>
      </c>
      <c r="T35" s="5">
        <v>15564</v>
      </c>
    </row>
    <row r="36" spans="16:20" x14ac:dyDescent="0.3">
      <c r="P36" t="s">
        <v>140</v>
      </c>
      <c r="Q36" t="s">
        <v>75</v>
      </c>
      <c r="R36" t="s">
        <v>90</v>
      </c>
      <c r="S36" t="s">
        <v>42</v>
      </c>
      <c r="T36" s="5">
        <v>5576</v>
      </c>
    </row>
    <row r="37" spans="16:20" x14ac:dyDescent="0.3">
      <c r="P37" t="s">
        <v>142</v>
      </c>
      <c r="Q37" t="s">
        <v>50</v>
      </c>
      <c r="R37" t="s">
        <v>63</v>
      </c>
      <c r="S37" t="s">
        <v>52</v>
      </c>
      <c r="T37" s="5">
        <v>2196</v>
      </c>
    </row>
    <row r="38" spans="16:20" x14ac:dyDescent="0.3">
      <c r="P38" t="s">
        <v>145</v>
      </c>
      <c r="Q38" t="s">
        <v>146</v>
      </c>
      <c r="R38" t="s">
        <v>147</v>
      </c>
      <c r="S38" t="s">
        <v>52</v>
      </c>
      <c r="T38" s="5">
        <v>6790</v>
      </c>
    </row>
    <row r="39" spans="16:20" x14ac:dyDescent="0.3">
      <c r="P39" t="s">
        <v>148</v>
      </c>
      <c r="Q39" t="s">
        <v>112</v>
      </c>
      <c r="R39" t="s">
        <v>90</v>
      </c>
      <c r="S39" t="s">
        <v>42</v>
      </c>
      <c r="T39" s="5">
        <v>22584</v>
      </c>
    </row>
    <row r="40" spans="16:20" x14ac:dyDescent="0.3">
      <c r="P40" t="s">
        <v>150</v>
      </c>
      <c r="Q40" t="s">
        <v>50</v>
      </c>
      <c r="R40" t="s">
        <v>41</v>
      </c>
      <c r="S40" t="s">
        <v>42</v>
      </c>
      <c r="T40" s="5">
        <v>20496</v>
      </c>
    </row>
    <row r="41" spans="16:20" x14ac:dyDescent="0.3">
      <c r="P41" t="s">
        <v>151</v>
      </c>
      <c r="Q41" t="s">
        <v>58</v>
      </c>
      <c r="R41" t="s">
        <v>116</v>
      </c>
      <c r="S41" t="s">
        <v>17</v>
      </c>
      <c r="T41" s="5">
        <v>8466</v>
      </c>
    </row>
    <row r="42" spans="16:20" x14ac:dyDescent="0.3">
      <c r="P42" t="s">
        <v>153</v>
      </c>
      <c r="Q42" t="s">
        <v>122</v>
      </c>
      <c r="R42" t="s">
        <v>41</v>
      </c>
      <c r="S42" t="s">
        <v>42</v>
      </c>
      <c r="T42" s="5">
        <v>25865</v>
      </c>
    </row>
    <row r="43" spans="16:20" x14ac:dyDescent="0.3">
      <c r="P43" t="s">
        <v>155</v>
      </c>
      <c r="Q43" t="s">
        <v>58</v>
      </c>
      <c r="R43" t="s">
        <v>116</v>
      </c>
      <c r="S43" t="s">
        <v>17</v>
      </c>
      <c r="T43" s="5">
        <v>12481</v>
      </c>
    </row>
    <row r="44" spans="16:20" x14ac:dyDescent="0.3">
      <c r="P44" t="s">
        <v>157</v>
      </c>
      <c r="Q44" t="s">
        <v>50</v>
      </c>
      <c r="R44" t="s">
        <v>159</v>
      </c>
      <c r="S44" t="s">
        <v>42</v>
      </c>
      <c r="T44" s="5">
        <v>10143</v>
      </c>
    </row>
    <row r="45" spans="16:20" x14ac:dyDescent="0.3">
      <c r="P45" t="s">
        <v>160</v>
      </c>
      <c r="Q45" t="s">
        <v>15</v>
      </c>
      <c r="R45" t="s">
        <v>116</v>
      </c>
      <c r="S45" t="s">
        <v>17</v>
      </c>
      <c r="T45" s="5">
        <v>1016</v>
      </c>
    </row>
    <row r="46" spans="16:20" x14ac:dyDescent="0.3">
      <c r="P46" t="s">
        <v>162</v>
      </c>
      <c r="Q46" t="s">
        <v>24</v>
      </c>
      <c r="R46" t="s">
        <v>51</v>
      </c>
      <c r="S46" t="s">
        <v>52</v>
      </c>
      <c r="T46" s="5">
        <v>2284</v>
      </c>
    </row>
    <row r="47" spans="16:20" x14ac:dyDescent="0.3">
      <c r="P47" t="s">
        <v>164</v>
      </c>
      <c r="Q47" t="s">
        <v>45</v>
      </c>
      <c r="R47" t="s">
        <v>165</v>
      </c>
      <c r="S47" t="s">
        <v>35</v>
      </c>
      <c r="T47" s="5">
        <v>87227</v>
      </c>
    </row>
    <row r="48" spans="16:20" x14ac:dyDescent="0.3">
      <c r="P48" t="s">
        <v>166</v>
      </c>
      <c r="Q48" t="s">
        <v>133</v>
      </c>
      <c r="R48" t="s">
        <v>69</v>
      </c>
      <c r="S48" t="s">
        <v>26</v>
      </c>
      <c r="T48" s="5">
        <v>46092</v>
      </c>
    </row>
    <row r="49" spans="16:20" x14ac:dyDescent="0.3">
      <c r="P49" t="s">
        <v>168</v>
      </c>
      <c r="Q49" t="s">
        <v>170</v>
      </c>
      <c r="R49" t="s">
        <v>159</v>
      </c>
      <c r="S49" t="s">
        <v>42</v>
      </c>
      <c r="T49" s="5">
        <v>22540</v>
      </c>
    </row>
    <row r="50" spans="16:20" x14ac:dyDescent="0.3">
      <c r="P50" t="s">
        <v>171</v>
      </c>
      <c r="Q50" t="s">
        <v>103</v>
      </c>
      <c r="R50" t="s">
        <v>159</v>
      </c>
      <c r="S50" t="s">
        <v>42</v>
      </c>
      <c r="T50" s="5">
        <v>23534</v>
      </c>
    </row>
    <row r="51" spans="16:20" x14ac:dyDescent="0.3">
      <c r="P51" t="s">
        <v>173</v>
      </c>
      <c r="Q51" t="s">
        <v>125</v>
      </c>
      <c r="R51" t="s">
        <v>25</v>
      </c>
      <c r="S51" t="s">
        <v>26</v>
      </c>
      <c r="T51" s="5">
        <v>39584</v>
      </c>
    </row>
    <row r="52" spans="16:20" x14ac:dyDescent="0.3">
      <c r="P52" t="s">
        <v>175</v>
      </c>
      <c r="Q52" t="s">
        <v>129</v>
      </c>
      <c r="R52" t="s">
        <v>34</v>
      </c>
      <c r="S52" t="s">
        <v>35</v>
      </c>
      <c r="T52" s="5">
        <v>258124</v>
      </c>
    </row>
    <row r="53" spans="16:20" x14ac:dyDescent="0.3">
      <c r="P53" t="s">
        <v>177</v>
      </c>
      <c r="Q53" t="s">
        <v>179</v>
      </c>
      <c r="R53" t="s">
        <v>130</v>
      </c>
      <c r="S53" t="s">
        <v>35</v>
      </c>
      <c r="T53" s="5">
        <v>87718</v>
      </c>
    </row>
    <row r="54" spans="16:20" x14ac:dyDescent="0.3">
      <c r="P54" t="s">
        <v>180</v>
      </c>
      <c r="Q54" t="s">
        <v>103</v>
      </c>
      <c r="R54" t="s">
        <v>59</v>
      </c>
      <c r="S54" t="s">
        <v>26</v>
      </c>
      <c r="T54" s="5">
        <v>23008</v>
      </c>
    </row>
    <row r="55" spans="16:20" x14ac:dyDescent="0.3">
      <c r="P55" t="s">
        <v>182</v>
      </c>
      <c r="Q55" t="s">
        <v>103</v>
      </c>
      <c r="R55" t="s">
        <v>51</v>
      </c>
      <c r="S55" t="s">
        <v>52</v>
      </c>
      <c r="T55" s="5">
        <v>1414</v>
      </c>
    </row>
    <row r="56" spans="16:20" x14ac:dyDescent="0.3">
      <c r="P56" t="s">
        <v>184</v>
      </c>
      <c r="Q56" t="s">
        <v>78</v>
      </c>
      <c r="R56" t="s">
        <v>90</v>
      </c>
      <c r="S56" t="s">
        <v>42</v>
      </c>
      <c r="T56" s="5">
        <v>3189</v>
      </c>
    </row>
    <row r="57" spans="16:20" x14ac:dyDescent="0.3">
      <c r="P57" t="s">
        <v>186</v>
      </c>
      <c r="Q57" t="s">
        <v>75</v>
      </c>
      <c r="R57" t="s">
        <v>90</v>
      </c>
      <c r="S57" t="s">
        <v>42</v>
      </c>
      <c r="T57" s="5">
        <v>10584</v>
      </c>
    </row>
    <row r="58" spans="16:20" x14ac:dyDescent="0.3">
      <c r="P58" t="s">
        <v>188</v>
      </c>
      <c r="Q58" t="s">
        <v>40</v>
      </c>
      <c r="R58" t="s">
        <v>25</v>
      </c>
      <c r="S58" t="s">
        <v>26</v>
      </c>
      <c r="T58" s="5">
        <v>5571</v>
      </c>
    </row>
    <row r="59" spans="16:20" x14ac:dyDescent="0.3">
      <c r="P59" t="s">
        <v>190</v>
      </c>
      <c r="Q59" t="s">
        <v>72</v>
      </c>
      <c r="R59" t="s">
        <v>109</v>
      </c>
      <c r="S59" t="s">
        <v>52</v>
      </c>
      <c r="T59" s="5">
        <v>2880</v>
      </c>
    </row>
    <row r="60" spans="16:20" x14ac:dyDescent="0.3">
      <c r="P60" t="s">
        <v>193</v>
      </c>
      <c r="Q60" t="s">
        <v>146</v>
      </c>
      <c r="R60" t="s">
        <v>165</v>
      </c>
      <c r="S60" t="s">
        <v>35</v>
      </c>
      <c r="T60" s="5">
        <v>319665</v>
      </c>
    </row>
    <row r="61" spans="16:20" x14ac:dyDescent="0.3">
      <c r="P61" t="s">
        <v>194</v>
      </c>
      <c r="Q61" t="s">
        <v>58</v>
      </c>
      <c r="R61" t="s">
        <v>165</v>
      </c>
      <c r="S61" t="s">
        <v>35</v>
      </c>
      <c r="T61" s="5">
        <v>77892</v>
      </c>
    </row>
    <row r="62" spans="16:20" x14ac:dyDescent="0.3">
      <c r="P62" t="s">
        <v>196</v>
      </c>
      <c r="Q62" t="s">
        <v>170</v>
      </c>
      <c r="R62" t="s">
        <v>69</v>
      </c>
      <c r="S62" t="s">
        <v>26</v>
      </c>
      <c r="T62" s="5">
        <v>25500</v>
      </c>
    </row>
    <row r="63" spans="16:20" x14ac:dyDescent="0.3">
      <c r="P63" t="s">
        <v>198</v>
      </c>
      <c r="Q63" t="s">
        <v>170</v>
      </c>
      <c r="R63" t="s">
        <v>97</v>
      </c>
      <c r="S63" t="s">
        <v>35</v>
      </c>
      <c r="T63" s="5">
        <v>596816</v>
      </c>
    </row>
    <row r="64" spans="16:20" x14ac:dyDescent="0.3">
      <c r="P64" t="s">
        <v>200</v>
      </c>
      <c r="Q64" t="s">
        <v>179</v>
      </c>
      <c r="R64" t="s">
        <v>69</v>
      </c>
      <c r="S64" t="s">
        <v>26</v>
      </c>
      <c r="T64" s="5">
        <v>8967</v>
      </c>
    </row>
    <row r="65" spans="16:20" x14ac:dyDescent="0.3">
      <c r="P65" t="s">
        <v>202</v>
      </c>
      <c r="Q65" t="s">
        <v>75</v>
      </c>
      <c r="R65" t="s">
        <v>90</v>
      </c>
      <c r="S65" t="s">
        <v>42</v>
      </c>
      <c r="T65" s="5">
        <v>3245</v>
      </c>
    </row>
    <row r="66" spans="16:20" x14ac:dyDescent="0.3">
      <c r="P66" t="s">
        <v>204</v>
      </c>
      <c r="Q66" t="s">
        <v>50</v>
      </c>
      <c r="R66" t="s">
        <v>86</v>
      </c>
      <c r="S66" t="s">
        <v>17</v>
      </c>
      <c r="T66" s="5">
        <v>6710</v>
      </c>
    </row>
    <row r="67" spans="16:20" x14ac:dyDescent="0.3">
      <c r="P67" t="s">
        <v>206</v>
      </c>
      <c r="Q67" t="s">
        <v>72</v>
      </c>
      <c r="R67" t="s">
        <v>97</v>
      </c>
      <c r="S67" t="s">
        <v>35</v>
      </c>
      <c r="T67" s="5">
        <v>208160</v>
      </c>
    </row>
    <row r="68" spans="16:20" x14ac:dyDescent="0.3">
      <c r="P68" t="s">
        <v>208</v>
      </c>
      <c r="Q68" t="s">
        <v>33</v>
      </c>
      <c r="R68" t="s">
        <v>165</v>
      </c>
      <c r="S68" t="s">
        <v>35</v>
      </c>
      <c r="T68" s="5">
        <v>190589</v>
      </c>
    </row>
    <row r="69" spans="16:20" x14ac:dyDescent="0.3">
      <c r="P69" t="s">
        <v>210</v>
      </c>
      <c r="Q69" t="s">
        <v>68</v>
      </c>
      <c r="R69" t="s">
        <v>159</v>
      </c>
      <c r="S69" t="s">
        <v>42</v>
      </c>
      <c r="T69" s="5">
        <v>3419</v>
      </c>
    </row>
    <row r="70" spans="16:20" x14ac:dyDescent="0.3">
      <c r="P70" t="s">
        <v>212</v>
      </c>
      <c r="Q70" t="s">
        <v>170</v>
      </c>
      <c r="R70" t="s">
        <v>51</v>
      </c>
      <c r="S70" t="s">
        <v>52</v>
      </c>
      <c r="T70" s="5">
        <v>6519</v>
      </c>
    </row>
    <row r="71" spans="16:20" x14ac:dyDescent="0.3">
      <c r="P71" t="s">
        <v>214</v>
      </c>
      <c r="Q71" t="s">
        <v>146</v>
      </c>
      <c r="R71" t="s">
        <v>41</v>
      </c>
      <c r="S71" t="s">
        <v>42</v>
      </c>
      <c r="T71" s="5">
        <v>2880</v>
      </c>
    </row>
    <row r="72" spans="16:20" x14ac:dyDescent="0.3">
      <c r="P72" t="s">
        <v>216</v>
      </c>
      <c r="Q72" t="s">
        <v>24</v>
      </c>
      <c r="R72" t="s">
        <v>218</v>
      </c>
      <c r="S72" t="s">
        <v>17</v>
      </c>
      <c r="T72" s="5">
        <v>5170</v>
      </c>
    </row>
    <row r="73" spans="16:20" x14ac:dyDescent="0.3">
      <c r="P73" t="s">
        <v>219</v>
      </c>
      <c r="Q73" t="s">
        <v>40</v>
      </c>
      <c r="R73" t="s">
        <v>79</v>
      </c>
      <c r="S73" t="s">
        <v>26</v>
      </c>
      <c r="T73" s="5">
        <v>14949</v>
      </c>
    </row>
    <row r="74" spans="16:20" x14ac:dyDescent="0.3">
      <c r="P74" t="s">
        <v>221</v>
      </c>
      <c r="Q74" t="s">
        <v>125</v>
      </c>
      <c r="R74" t="s">
        <v>46</v>
      </c>
      <c r="S74" t="s">
        <v>42</v>
      </c>
      <c r="T74" s="5">
        <v>22210</v>
      </c>
    </row>
    <row r="75" spans="16:20" x14ac:dyDescent="0.3">
      <c r="P75" t="s">
        <v>223</v>
      </c>
      <c r="Q75" t="s">
        <v>45</v>
      </c>
      <c r="R75" t="s">
        <v>59</v>
      </c>
      <c r="S75" t="s">
        <v>26</v>
      </c>
      <c r="T75" s="5">
        <v>26485</v>
      </c>
    </row>
    <row r="76" spans="16:20" x14ac:dyDescent="0.3">
      <c r="P76" t="s">
        <v>225</v>
      </c>
      <c r="Q76" t="s">
        <v>40</v>
      </c>
      <c r="R76" t="s">
        <v>109</v>
      </c>
      <c r="S76" t="s">
        <v>52</v>
      </c>
      <c r="T76" s="5">
        <v>5104</v>
      </c>
    </row>
    <row r="77" spans="16:20" x14ac:dyDescent="0.3">
      <c r="P77" t="s">
        <v>227</v>
      </c>
      <c r="Q77" t="s">
        <v>112</v>
      </c>
      <c r="R77" t="s">
        <v>147</v>
      </c>
      <c r="S77" t="s">
        <v>52</v>
      </c>
      <c r="T77" s="5">
        <v>5814</v>
      </c>
    </row>
    <row r="78" spans="16:20" x14ac:dyDescent="0.3">
      <c r="P78" t="s">
        <v>229</v>
      </c>
      <c r="Q78" t="s">
        <v>78</v>
      </c>
      <c r="R78" t="s">
        <v>97</v>
      </c>
      <c r="S78" t="s">
        <v>35</v>
      </c>
      <c r="T78" s="5">
        <v>74214</v>
      </c>
    </row>
    <row r="79" spans="16:20" x14ac:dyDescent="0.3">
      <c r="P79" t="s">
        <v>230</v>
      </c>
      <c r="Q79" t="s">
        <v>68</v>
      </c>
      <c r="R79" t="s">
        <v>218</v>
      </c>
      <c r="S79" t="s">
        <v>17</v>
      </c>
      <c r="T79" s="5">
        <v>2462</v>
      </c>
    </row>
    <row r="80" spans="16:20" x14ac:dyDescent="0.3">
      <c r="P80" t="s">
        <v>232</v>
      </c>
      <c r="Q80" t="s">
        <v>33</v>
      </c>
      <c r="R80" t="s">
        <v>218</v>
      </c>
      <c r="S80" t="s">
        <v>17</v>
      </c>
      <c r="T80" s="5">
        <v>6504</v>
      </c>
    </row>
    <row r="81" spans="16:20" x14ac:dyDescent="0.3">
      <c r="P81" t="s">
        <v>234</v>
      </c>
      <c r="Q81" t="s">
        <v>133</v>
      </c>
      <c r="R81" t="s">
        <v>16</v>
      </c>
      <c r="S81" t="s">
        <v>17</v>
      </c>
      <c r="T81" s="5">
        <v>3285</v>
      </c>
    </row>
    <row r="82" spans="16:20" x14ac:dyDescent="0.3">
      <c r="P82" t="s">
        <v>236</v>
      </c>
      <c r="Q82" t="s">
        <v>68</v>
      </c>
      <c r="R82" t="s">
        <v>69</v>
      </c>
      <c r="S82" t="s">
        <v>26</v>
      </c>
      <c r="T82" s="5">
        <v>8085</v>
      </c>
    </row>
    <row r="83" spans="16:20" x14ac:dyDescent="0.3">
      <c r="P83" t="s">
        <v>238</v>
      </c>
      <c r="Q83" t="s">
        <v>33</v>
      </c>
      <c r="R83" t="s">
        <v>116</v>
      </c>
      <c r="S83" t="s">
        <v>17</v>
      </c>
      <c r="T83" s="5">
        <v>2200</v>
      </c>
    </row>
    <row r="84" spans="16:20" x14ac:dyDescent="0.3">
      <c r="P84" t="s">
        <v>239</v>
      </c>
      <c r="Q84" t="s">
        <v>103</v>
      </c>
      <c r="R84" t="s">
        <v>79</v>
      </c>
      <c r="S84" t="s">
        <v>26</v>
      </c>
      <c r="T84" s="5">
        <v>12868</v>
      </c>
    </row>
    <row r="85" spans="16:20" x14ac:dyDescent="0.3">
      <c r="P85" t="s">
        <v>240</v>
      </c>
      <c r="Q85" t="s">
        <v>103</v>
      </c>
      <c r="R85" t="s">
        <v>147</v>
      </c>
      <c r="S85" t="s">
        <v>52</v>
      </c>
      <c r="T85" s="5">
        <v>310</v>
      </c>
    </row>
    <row r="86" spans="16:20" x14ac:dyDescent="0.3">
      <c r="P86" t="s">
        <v>241</v>
      </c>
      <c r="Q86" t="s">
        <v>45</v>
      </c>
      <c r="R86" t="s">
        <v>25</v>
      </c>
      <c r="S86" t="s">
        <v>26</v>
      </c>
      <c r="T86" s="5">
        <v>20688</v>
      </c>
    </row>
    <row r="87" spans="16:20" x14ac:dyDescent="0.3">
      <c r="P87" t="s">
        <v>243</v>
      </c>
      <c r="Q87" t="s">
        <v>45</v>
      </c>
      <c r="R87" t="s">
        <v>16</v>
      </c>
      <c r="S87" t="s">
        <v>17</v>
      </c>
      <c r="T87" s="5">
        <v>8211</v>
      </c>
    </row>
    <row r="88" spans="16:20" x14ac:dyDescent="0.3">
      <c r="P88" t="s">
        <v>245</v>
      </c>
      <c r="Q88" t="s">
        <v>68</v>
      </c>
      <c r="R88" t="s">
        <v>165</v>
      </c>
      <c r="S88" t="s">
        <v>35</v>
      </c>
      <c r="T88" s="5">
        <v>246912</v>
      </c>
    </row>
    <row r="89" spans="16:20" x14ac:dyDescent="0.3">
      <c r="P89" t="s">
        <v>247</v>
      </c>
      <c r="Q89" t="s">
        <v>129</v>
      </c>
      <c r="R89" t="s">
        <v>159</v>
      </c>
      <c r="S89" t="s">
        <v>42</v>
      </c>
      <c r="T89" s="5">
        <v>8868</v>
      </c>
    </row>
    <row r="90" spans="16:20" x14ac:dyDescent="0.3">
      <c r="P90" t="s">
        <v>248</v>
      </c>
      <c r="Q90" t="s">
        <v>68</v>
      </c>
      <c r="R90" t="s">
        <v>16</v>
      </c>
      <c r="S90" t="s">
        <v>17</v>
      </c>
      <c r="T90" s="5">
        <v>3479</v>
      </c>
    </row>
    <row r="91" spans="16:20" x14ac:dyDescent="0.3">
      <c r="P91" t="s">
        <v>249</v>
      </c>
      <c r="Q91" t="s">
        <v>122</v>
      </c>
      <c r="R91" t="s">
        <v>218</v>
      </c>
      <c r="S91" t="s">
        <v>17</v>
      </c>
      <c r="T91" s="5">
        <v>5100</v>
      </c>
    </row>
    <row r="92" spans="16:20" x14ac:dyDescent="0.3">
      <c r="P92" t="s">
        <v>251</v>
      </c>
      <c r="Q92" t="s">
        <v>170</v>
      </c>
      <c r="R92" t="s">
        <v>218</v>
      </c>
      <c r="S92" t="s">
        <v>17</v>
      </c>
      <c r="T92" s="5">
        <v>4712</v>
      </c>
    </row>
    <row r="93" spans="16:20" x14ac:dyDescent="0.3">
      <c r="P93" t="s">
        <v>253</v>
      </c>
      <c r="Q93" t="s">
        <v>170</v>
      </c>
      <c r="R93" t="s">
        <v>51</v>
      </c>
      <c r="S93" t="s">
        <v>52</v>
      </c>
      <c r="T93" s="5">
        <v>1125</v>
      </c>
    </row>
    <row r="94" spans="16:20" x14ac:dyDescent="0.3">
      <c r="P94" t="s">
        <v>254</v>
      </c>
      <c r="Q94" t="s">
        <v>146</v>
      </c>
      <c r="R94" t="s">
        <v>165</v>
      </c>
      <c r="S94" t="s">
        <v>35</v>
      </c>
      <c r="T94" s="5">
        <v>46264</v>
      </c>
    </row>
    <row r="95" spans="16:20" x14ac:dyDescent="0.3">
      <c r="P95" t="s">
        <v>256</v>
      </c>
      <c r="Q95" t="s">
        <v>112</v>
      </c>
      <c r="R95" t="s">
        <v>69</v>
      </c>
      <c r="S95" t="s">
        <v>26</v>
      </c>
      <c r="T95" s="5">
        <v>39215</v>
      </c>
    </row>
    <row r="96" spans="16:20" x14ac:dyDescent="0.3">
      <c r="P96" t="s">
        <v>258</v>
      </c>
      <c r="Q96" t="s">
        <v>170</v>
      </c>
      <c r="R96" t="s">
        <v>51</v>
      </c>
      <c r="S96" t="s">
        <v>52</v>
      </c>
      <c r="T96" s="5">
        <v>1087</v>
      </c>
    </row>
    <row r="97" spans="16:20" x14ac:dyDescent="0.3">
      <c r="P97" t="s">
        <v>260</v>
      </c>
      <c r="Q97" t="s">
        <v>50</v>
      </c>
      <c r="R97" t="s">
        <v>159</v>
      </c>
      <c r="S97" t="s">
        <v>42</v>
      </c>
      <c r="T97" s="5">
        <v>36939</v>
      </c>
    </row>
    <row r="98" spans="16:20" x14ac:dyDescent="0.3">
      <c r="P98" t="s">
        <v>262</v>
      </c>
      <c r="Q98" t="s">
        <v>50</v>
      </c>
      <c r="R98" t="s">
        <v>116</v>
      </c>
      <c r="S98" t="s">
        <v>17</v>
      </c>
      <c r="T98" s="5">
        <v>8874</v>
      </c>
    </row>
    <row r="99" spans="16:20" x14ac:dyDescent="0.3">
      <c r="P99" t="s">
        <v>264</v>
      </c>
      <c r="Q99" t="s">
        <v>50</v>
      </c>
      <c r="R99" t="s">
        <v>69</v>
      </c>
      <c r="S99" t="s">
        <v>26</v>
      </c>
      <c r="T99" s="5">
        <v>47628</v>
      </c>
    </row>
    <row r="100" spans="16:20" x14ac:dyDescent="0.3">
      <c r="P100" t="s">
        <v>265</v>
      </c>
      <c r="Q100" t="s">
        <v>122</v>
      </c>
      <c r="R100" t="s">
        <v>34</v>
      </c>
      <c r="S100" t="s">
        <v>35</v>
      </c>
      <c r="T100" s="5">
        <v>55830</v>
      </c>
    </row>
    <row r="101" spans="16:20" x14ac:dyDescent="0.3">
      <c r="P101" t="s">
        <v>266</v>
      </c>
      <c r="Q101" t="s">
        <v>58</v>
      </c>
      <c r="R101" t="s">
        <v>63</v>
      </c>
      <c r="S101" t="s">
        <v>52</v>
      </c>
      <c r="T101" s="5">
        <v>1674</v>
      </c>
    </row>
    <row r="102" spans="16:20" x14ac:dyDescent="0.3">
      <c r="P102" t="s">
        <v>268</v>
      </c>
      <c r="Q102" t="s">
        <v>40</v>
      </c>
      <c r="R102" t="s">
        <v>51</v>
      </c>
      <c r="S102" t="s">
        <v>52</v>
      </c>
      <c r="T102" s="5">
        <v>11920</v>
      </c>
    </row>
    <row r="103" spans="16:20" x14ac:dyDescent="0.3">
      <c r="P103" t="s">
        <v>269</v>
      </c>
      <c r="Q103" t="s">
        <v>146</v>
      </c>
      <c r="R103" t="s">
        <v>218</v>
      </c>
      <c r="S103" t="s">
        <v>17</v>
      </c>
      <c r="T103" s="5">
        <v>3240</v>
      </c>
    </row>
    <row r="104" spans="16:20" x14ac:dyDescent="0.3">
      <c r="P104" t="s">
        <v>270</v>
      </c>
      <c r="Q104" t="s">
        <v>33</v>
      </c>
      <c r="R104" t="s">
        <v>69</v>
      </c>
      <c r="S104" t="s">
        <v>26</v>
      </c>
      <c r="T104" s="5">
        <v>6543</v>
      </c>
    </row>
    <row r="105" spans="16:20" x14ac:dyDescent="0.3">
      <c r="P105" t="s">
        <v>272</v>
      </c>
      <c r="Q105" t="s">
        <v>75</v>
      </c>
      <c r="R105" t="s">
        <v>79</v>
      </c>
      <c r="S105" t="s">
        <v>26</v>
      </c>
      <c r="T105" s="5">
        <v>71538</v>
      </c>
    </row>
    <row r="106" spans="16:20" x14ac:dyDescent="0.3">
      <c r="P106" t="s">
        <v>274</v>
      </c>
      <c r="Q106" t="s">
        <v>72</v>
      </c>
      <c r="R106" t="s">
        <v>130</v>
      </c>
      <c r="S106" t="s">
        <v>35</v>
      </c>
      <c r="T106" s="5">
        <v>236640</v>
      </c>
    </row>
    <row r="107" spans="16:20" x14ac:dyDescent="0.3">
      <c r="P107" t="s">
        <v>276</v>
      </c>
      <c r="Q107" t="s">
        <v>15</v>
      </c>
      <c r="R107" t="s">
        <v>69</v>
      </c>
      <c r="S107" t="s">
        <v>26</v>
      </c>
      <c r="T107" s="5">
        <v>70704</v>
      </c>
    </row>
    <row r="108" spans="16:20" x14ac:dyDescent="0.3">
      <c r="P108" t="s">
        <v>278</v>
      </c>
      <c r="Q108" t="s">
        <v>112</v>
      </c>
      <c r="R108" t="s">
        <v>109</v>
      </c>
      <c r="S108" t="s">
        <v>52</v>
      </c>
      <c r="T108" s="5">
        <v>3252</v>
      </c>
    </row>
    <row r="109" spans="16:20" x14ac:dyDescent="0.3">
      <c r="P109" t="s">
        <v>280</v>
      </c>
      <c r="Q109" t="s">
        <v>133</v>
      </c>
      <c r="R109" t="s">
        <v>79</v>
      </c>
      <c r="S109" t="s">
        <v>26</v>
      </c>
      <c r="T109" s="5">
        <v>24584</v>
      </c>
    </row>
    <row r="110" spans="16:20" x14ac:dyDescent="0.3">
      <c r="P110" t="s">
        <v>281</v>
      </c>
      <c r="Q110" t="s">
        <v>146</v>
      </c>
      <c r="R110" t="s">
        <v>59</v>
      </c>
      <c r="S110" t="s">
        <v>26</v>
      </c>
      <c r="T110" s="5">
        <v>15912</v>
      </c>
    </row>
    <row r="111" spans="16:20" x14ac:dyDescent="0.3">
      <c r="P111" t="s">
        <v>283</v>
      </c>
      <c r="Q111" t="s">
        <v>40</v>
      </c>
      <c r="R111" t="s">
        <v>63</v>
      </c>
      <c r="S111" t="s">
        <v>52</v>
      </c>
      <c r="T111" s="5">
        <v>1389</v>
      </c>
    </row>
    <row r="112" spans="16:20" x14ac:dyDescent="0.3">
      <c r="P112" t="s">
        <v>285</v>
      </c>
      <c r="Q112" t="s">
        <v>122</v>
      </c>
      <c r="R112" t="s">
        <v>159</v>
      </c>
      <c r="S112" t="s">
        <v>42</v>
      </c>
      <c r="T112" s="5">
        <v>1836</v>
      </c>
    </row>
    <row r="113" spans="16:20" x14ac:dyDescent="0.3">
      <c r="P113" t="s">
        <v>287</v>
      </c>
      <c r="Q113" t="s">
        <v>72</v>
      </c>
      <c r="R113" t="s">
        <v>147</v>
      </c>
      <c r="S113" t="s">
        <v>52</v>
      </c>
      <c r="T113" s="5">
        <v>3246</v>
      </c>
    </row>
    <row r="114" spans="16:20" x14ac:dyDescent="0.3">
      <c r="P114" t="s">
        <v>289</v>
      </c>
      <c r="Q114" t="s">
        <v>40</v>
      </c>
      <c r="R114" t="s">
        <v>25</v>
      </c>
      <c r="S114" t="s">
        <v>26</v>
      </c>
      <c r="T114" s="5">
        <v>10775</v>
      </c>
    </row>
    <row r="115" spans="16:20" x14ac:dyDescent="0.3">
      <c r="P115" t="s">
        <v>291</v>
      </c>
      <c r="Q115" t="s">
        <v>72</v>
      </c>
      <c r="R115" t="s">
        <v>86</v>
      </c>
      <c r="S115" t="s">
        <v>17</v>
      </c>
      <c r="T115" s="5">
        <v>3424</v>
      </c>
    </row>
    <row r="116" spans="16:20" x14ac:dyDescent="0.3">
      <c r="P116" t="s">
        <v>293</v>
      </c>
      <c r="Q116" t="s">
        <v>50</v>
      </c>
      <c r="R116" t="s">
        <v>59</v>
      </c>
      <c r="S116" t="s">
        <v>26</v>
      </c>
      <c r="T116" s="5">
        <v>13356</v>
      </c>
    </row>
    <row r="117" spans="16:20" x14ac:dyDescent="0.3">
      <c r="P117" t="s">
        <v>295</v>
      </c>
      <c r="Q117" t="s">
        <v>72</v>
      </c>
      <c r="R117" t="s">
        <v>130</v>
      </c>
      <c r="S117" t="s">
        <v>35</v>
      </c>
      <c r="T117" s="5">
        <v>204624</v>
      </c>
    </row>
    <row r="118" spans="16:20" x14ac:dyDescent="0.3">
      <c r="P118" t="s">
        <v>297</v>
      </c>
      <c r="Q118" t="s">
        <v>33</v>
      </c>
      <c r="R118" t="s">
        <v>51</v>
      </c>
      <c r="S118" t="s">
        <v>52</v>
      </c>
      <c r="T118" s="5">
        <v>7968</v>
      </c>
    </row>
    <row r="119" spans="16:20" x14ac:dyDescent="0.3">
      <c r="P119" t="s">
        <v>299</v>
      </c>
      <c r="Q119" t="s">
        <v>170</v>
      </c>
      <c r="R119" t="s">
        <v>165</v>
      </c>
      <c r="S119" t="s">
        <v>35</v>
      </c>
      <c r="T119" s="5">
        <v>220384</v>
      </c>
    </row>
    <row r="120" spans="16:20" x14ac:dyDescent="0.3">
      <c r="P120" t="s">
        <v>301</v>
      </c>
      <c r="Q120" t="s">
        <v>75</v>
      </c>
      <c r="R120" t="s">
        <v>90</v>
      </c>
      <c r="S120" t="s">
        <v>42</v>
      </c>
      <c r="T120" s="5">
        <v>33425</v>
      </c>
    </row>
    <row r="121" spans="16:20" x14ac:dyDescent="0.3">
      <c r="P121" t="s">
        <v>303</v>
      </c>
      <c r="Q121" t="s">
        <v>45</v>
      </c>
      <c r="R121" t="s">
        <v>159</v>
      </c>
      <c r="S121" t="s">
        <v>42</v>
      </c>
      <c r="T121" s="5">
        <v>16930</v>
      </c>
    </row>
    <row r="122" spans="16:20" x14ac:dyDescent="0.3">
      <c r="P122" t="s">
        <v>305</v>
      </c>
      <c r="Q122" t="s">
        <v>75</v>
      </c>
      <c r="R122" t="s">
        <v>46</v>
      </c>
      <c r="S122" t="s">
        <v>42</v>
      </c>
      <c r="T122" s="5">
        <v>4263</v>
      </c>
    </row>
    <row r="123" spans="16:20" x14ac:dyDescent="0.3">
      <c r="P123" t="s">
        <v>307</v>
      </c>
      <c r="Q123" t="s">
        <v>129</v>
      </c>
      <c r="R123" t="s">
        <v>79</v>
      </c>
      <c r="S123" t="s">
        <v>26</v>
      </c>
      <c r="T123" s="5">
        <v>5703</v>
      </c>
    </row>
    <row r="124" spans="16:20" x14ac:dyDescent="0.3">
      <c r="P124" t="s">
        <v>309</v>
      </c>
      <c r="Q124" t="s">
        <v>122</v>
      </c>
      <c r="R124" t="s">
        <v>46</v>
      </c>
      <c r="S124" t="s">
        <v>42</v>
      </c>
      <c r="T124" s="5">
        <v>29648</v>
      </c>
    </row>
    <row r="125" spans="16:20" x14ac:dyDescent="0.3">
      <c r="P125" t="s">
        <v>311</v>
      </c>
      <c r="Q125" t="s">
        <v>179</v>
      </c>
      <c r="R125" t="s">
        <v>90</v>
      </c>
      <c r="S125" t="s">
        <v>42</v>
      </c>
      <c r="T125" s="5">
        <v>4914</v>
      </c>
    </row>
    <row r="126" spans="16:20" x14ac:dyDescent="0.3">
      <c r="P126" t="s">
        <v>312</v>
      </c>
      <c r="Q126" t="s">
        <v>24</v>
      </c>
      <c r="R126" t="s">
        <v>159</v>
      </c>
      <c r="S126" t="s">
        <v>42</v>
      </c>
      <c r="T126" s="5">
        <v>2462</v>
      </c>
    </row>
    <row r="127" spans="16:20" x14ac:dyDescent="0.3">
      <c r="P127" t="s">
        <v>314</v>
      </c>
      <c r="Q127" t="s">
        <v>146</v>
      </c>
      <c r="R127" t="s">
        <v>79</v>
      </c>
      <c r="S127" t="s">
        <v>26</v>
      </c>
      <c r="T127" s="5">
        <v>26848</v>
      </c>
    </row>
    <row r="128" spans="16:20" x14ac:dyDescent="0.3">
      <c r="P128" t="s">
        <v>315</v>
      </c>
      <c r="Q128" t="s">
        <v>75</v>
      </c>
      <c r="R128" t="s">
        <v>218</v>
      </c>
      <c r="S128" t="s">
        <v>17</v>
      </c>
      <c r="T128" s="5">
        <v>11008</v>
      </c>
    </row>
    <row r="129" spans="16:20" x14ac:dyDescent="0.3">
      <c r="P129" t="s">
        <v>316</v>
      </c>
      <c r="Q129" t="s">
        <v>170</v>
      </c>
      <c r="R129" t="s">
        <v>63</v>
      </c>
      <c r="S129" t="s">
        <v>52</v>
      </c>
      <c r="T129" s="5">
        <v>3332</v>
      </c>
    </row>
    <row r="130" spans="16:20" x14ac:dyDescent="0.3">
      <c r="P130" t="s">
        <v>317</v>
      </c>
      <c r="Q130" t="s">
        <v>112</v>
      </c>
      <c r="R130" t="s">
        <v>59</v>
      </c>
      <c r="S130" t="s">
        <v>26</v>
      </c>
      <c r="T130" s="5">
        <v>28805</v>
      </c>
    </row>
    <row r="131" spans="16:20" x14ac:dyDescent="0.3">
      <c r="P131" t="s">
        <v>318</v>
      </c>
      <c r="Q131" t="s">
        <v>58</v>
      </c>
      <c r="R131" t="s">
        <v>109</v>
      </c>
      <c r="S131" t="s">
        <v>52</v>
      </c>
      <c r="T131" s="5">
        <v>582</v>
      </c>
    </row>
    <row r="132" spans="16:20" x14ac:dyDescent="0.3">
      <c r="P132" t="s">
        <v>320</v>
      </c>
      <c r="Q132" t="s">
        <v>24</v>
      </c>
      <c r="R132" t="s">
        <v>59</v>
      </c>
      <c r="S132" t="s">
        <v>26</v>
      </c>
      <c r="T132" s="5">
        <v>41150</v>
      </c>
    </row>
    <row r="133" spans="16:20" x14ac:dyDescent="0.3">
      <c r="P133" t="s">
        <v>322</v>
      </c>
      <c r="Q133" t="s">
        <v>170</v>
      </c>
      <c r="R133" t="s">
        <v>159</v>
      </c>
      <c r="S133" t="s">
        <v>42</v>
      </c>
      <c r="T133" s="5">
        <v>11898</v>
      </c>
    </row>
    <row r="134" spans="16:20" x14ac:dyDescent="0.3">
      <c r="P134" t="s">
        <v>323</v>
      </c>
      <c r="Q134" t="s">
        <v>170</v>
      </c>
      <c r="R134" t="s">
        <v>97</v>
      </c>
      <c r="S134" t="s">
        <v>35</v>
      </c>
      <c r="T134" s="5">
        <v>121614</v>
      </c>
    </row>
    <row r="135" spans="16:20" x14ac:dyDescent="0.3">
      <c r="P135" t="s">
        <v>325</v>
      </c>
      <c r="Q135" t="s">
        <v>122</v>
      </c>
      <c r="R135" t="s">
        <v>51</v>
      </c>
      <c r="S135" t="s">
        <v>52</v>
      </c>
      <c r="T135" s="5">
        <v>12104</v>
      </c>
    </row>
    <row r="136" spans="16:20" x14ac:dyDescent="0.3">
      <c r="P136" t="s">
        <v>327</v>
      </c>
      <c r="Q136" t="s">
        <v>129</v>
      </c>
      <c r="R136" t="s">
        <v>218</v>
      </c>
      <c r="S136" t="s">
        <v>17</v>
      </c>
      <c r="T136" s="5">
        <v>7080</v>
      </c>
    </row>
    <row r="137" spans="16:20" x14ac:dyDescent="0.3">
      <c r="P137" t="s">
        <v>328</v>
      </c>
      <c r="Q137" t="s">
        <v>45</v>
      </c>
      <c r="R137" t="s">
        <v>41</v>
      </c>
      <c r="S137" t="s">
        <v>42</v>
      </c>
      <c r="T137" s="5">
        <v>15456</v>
      </c>
    </row>
    <row r="138" spans="16:20" x14ac:dyDescent="0.3">
      <c r="P138" t="s">
        <v>329</v>
      </c>
      <c r="Q138" t="s">
        <v>33</v>
      </c>
      <c r="R138" t="s">
        <v>116</v>
      </c>
      <c r="S138" t="s">
        <v>17</v>
      </c>
      <c r="T138" s="5">
        <v>8652</v>
      </c>
    </row>
    <row r="139" spans="16:20" x14ac:dyDescent="0.3">
      <c r="P139" t="s">
        <v>331</v>
      </c>
      <c r="Q139" t="s">
        <v>58</v>
      </c>
      <c r="R139" t="s">
        <v>90</v>
      </c>
      <c r="S139" t="s">
        <v>42</v>
      </c>
      <c r="T139" s="5">
        <v>11757</v>
      </c>
    </row>
    <row r="140" spans="16:20" x14ac:dyDescent="0.3">
      <c r="P140" t="s">
        <v>333</v>
      </c>
      <c r="Q140" t="s">
        <v>45</v>
      </c>
      <c r="R140" t="s">
        <v>41</v>
      </c>
      <c r="S140" t="s">
        <v>42</v>
      </c>
      <c r="T140" s="5">
        <v>32886</v>
      </c>
    </row>
    <row r="141" spans="16:20" x14ac:dyDescent="0.3">
      <c r="P141" t="s">
        <v>335</v>
      </c>
      <c r="Q141" t="s">
        <v>170</v>
      </c>
      <c r="R141" t="s">
        <v>116</v>
      </c>
      <c r="S141" t="s">
        <v>17</v>
      </c>
      <c r="T141" s="5">
        <v>4214</v>
      </c>
    </row>
    <row r="142" spans="16:20" x14ac:dyDescent="0.3">
      <c r="P142" t="s">
        <v>337</v>
      </c>
      <c r="Q142" t="s">
        <v>112</v>
      </c>
      <c r="R142" t="s">
        <v>51</v>
      </c>
      <c r="S142" t="s">
        <v>52</v>
      </c>
      <c r="T142" s="5">
        <v>4040</v>
      </c>
    </row>
    <row r="143" spans="16:20" x14ac:dyDescent="0.3">
      <c r="P143" t="s">
        <v>338</v>
      </c>
      <c r="Q143" t="s">
        <v>78</v>
      </c>
      <c r="R143" t="s">
        <v>46</v>
      </c>
      <c r="S143" t="s">
        <v>42</v>
      </c>
      <c r="T143" s="5">
        <v>27996</v>
      </c>
    </row>
    <row r="144" spans="16:20" x14ac:dyDescent="0.3">
      <c r="P144" t="s">
        <v>339</v>
      </c>
      <c r="Q144" t="s">
        <v>50</v>
      </c>
      <c r="R144" t="s">
        <v>34</v>
      </c>
      <c r="S144" t="s">
        <v>35</v>
      </c>
      <c r="T144" s="5">
        <v>385744</v>
      </c>
    </row>
    <row r="145" spans="16:20" x14ac:dyDescent="0.3">
      <c r="P145" t="s">
        <v>340</v>
      </c>
      <c r="Q145" t="s">
        <v>78</v>
      </c>
      <c r="R145" t="s">
        <v>218</v>
      </c>
      <c r="S145" t="s">
        <v>17</v>
      </c>
      <c r="T145" s="5">
        <v>7230</v>
      </c>
    </row>
    <row r="146" spans="16:20" x14ac:dyDescent="0.3">
      <c r="P146" t="s">
        <v>341</v>
      </c>
      <c r="Q146" t="s">
        <v>170</v>
      </c>
      <c r="R146" t="s">
        <v>86</v>
      </c>
      <c r="S146" t="s">
        <v>17</v>
      </c>
      <c r="T146" s="5">
        <v>1671</v>
      </c>
    </row>
    <row r="147" spans="16:20" x14ac:dyDescent="0.3">
      <c r="P147" t="s">
        <v>343</v>
      </c>
      <c r="Q147" t="s">
        <v>75</v>
      </c>
      <c r="R147" t="s">
        <v>147</v>
      </c>
      <c r="S147" t="s">
        <v>52</v>
      </c>
      <c r="T147" s="5">
        <v>6594</v>
      </c>
    </row>
    <row r="148" spans="16:20" x14ac:dyDescent="0.3">
      <c r="P148" t="s">
        <v>345</v>
      </c>
      <c r="Q148" t="s">
        <v>170</v>
      </c>
      <c r="R148" t="s">
        <v>51</v>
      </c>
      <c r="S148" t="s">
        <v>52</v>
      </c>
      <c r="T148" s="5">
        <v>2279</v>
      </c>
    </row>
    <row r="149" spans="16:20" x14ac:dyDescent="0.3">
      <c r="P149" t="s">
        <v>347</v>
      </c>
      <c r="Q149" t="s">
        <v>15</v>
      </c>
      <c r="R149" t="s">
        <v>51</v>
      </c>
      <c r="S149" t="s">
        <v>52</v>
      </c>
      <c r="T149" s="5">
        <v>6416</v>
      </c>
    </row>
    <row r="150" spans="16:20" x14ac:dyDescent="0.3">
      <c r="P150" t="s">
        <v>349</v>
      </c>
      <c r="Q150" t="s">
        <v>72</v>
      </c>
      <c r="R150" t="s">
        <v>79</v>
      </c>
      <c r="S150" t="s">
        <v>26</v>
      </c>
      <c r="T150" s="5">
        <v>51569</v>
      </c>
    </row>
    <row r="151" spans="16:20" x14ac:dyDescent="0.3">
      <c r="P151" t="s">
        <v>351</v>
      </c>
      <c r="Q151" t="s">
        <v>103</v>
      </c>
      <c r="R151" t="s">
        <v>218</v>
      </c>
      <c r="S151" t="s">
        <v>17</v>
      </c>
      <c r="T151" s="5">
        <v>4856</v>
      </c>
    </row>
    <row r="152" spans="16:20" x14ac:dyDescent="0.3">
      <c r="P152" t="s">
        <v>353</v>
      </c>
      <c r="Q152" t="s">
        <v>129</v>
      </c>
      <c r="R152" t="s">
        <v>16</v>
      </c>
      <c r="S152" t="s">
        <v>17</v>
      </c>
      <c r="T152" s="5">
        <v>3135</v>
      </c>
    </row>
    <row r="153" spans="16:20" x14ac:dyDescent="0.3">
      <c r="P153" t="s">
        <v>355</v>
      </c>
      <c r="Q153" t="s">
        <v>122</v>
      </c>
      <c r="R153" t="s">
        <v>51</v>
      </c>
      <c r="S153" t="s">
        <v>52</v>
      </c>
      <c r="T153" s="5">
        <v>14240</v>
      </c>
    </row>
    <row r="154" spans="16:20" x14ac:dyDescent="0.3">
      <c r="P154" t="s">
        <v>357</v>
      </c>
      <c r="Q154" t="s">
        <v>170</v>
      </c>
      <c r="R154" t="s">
        <v>59</v>
      </c>
      <c r="S154" t="s">
        <v>26</v>
      </c>
      <c r="T154" s="5">
        <v>20366</v>
      </c>
    </row>
    <row r="155" spans="16:20" x14ac:dyDescent="0.3">
      <c r="P155" t="s">
        <v>358</v>
      </c>
      <c r="Q155" t="s">
        <v>78</v>
      </c>
      <c r="R155" t="s">
        <v>51</v>
      </c>
      <c r="S155" t="s">
        <v>52</v>
      </c>
      <c r="T155" s="5">
        <v>16856</v>
      </c>
    </row>
    <row r="156" spans="16:20" x14ac:dyDescent="0.3">
      <c r="P156" t="s">
        <v>360</v>
      </c>
      <c r="Q156" t="s">
        <v>75</v>
      </c>
      <c r="R156" t="s">
        <v>46</v>
      </c>
      <c r="S156" t="s">
        <v>42</v>
      </c>
      <c r="T156" s="5">
        <v>16680</v>
      </c>
    </row>
    <row r="157" spans="16:20" x14ac:dyDescent="0.3">
      <c r="P157" t="s">
        <v>362</v>
      </c>
      <c r="Q157" t="s">
        <v>129</v>
      </c>
      <c r="R157" t="s">
        <v>159</v>
      </c>
      <c r="S157" t="s">
        <v>42</v>
      </c>
      <c r="T157" s="5">
        <v>26544</v>
      </c>
    </row>
    <row r="158" spans="16:20" x14ac:dyDescent="0.3">
      <c r="P158" t="s">
        <v>364</v>
      </c>
      <c r="Q158" t="s">
        <v>122</v>
      </c>
      <c r="R158" t="s">
        <v>79</v>
      </c>
      <c r="S158" t="s">
        <v>26</v>
      </c>
      <c r="T158" s="5">
        <v>7748</v>
      </c>
    </row>
    <row r="159" spans="16:20" x14ac:dyDescent="0.3">
      <c r="P159" t="s">
        <v>366</v>
      </c>
      <c r="Q159" t="s">
        <v>45</v>
      </c>
      <c r="R159" t="s">
        <v>34</v>
      </c>
      <c r="S159" t="s">
        <v>35</v>
      </c>
      <c r="T159" s="5">
        <v>83099</v>
      </c>
    </row>
    <row r="160" spans="16:20" x14ac:dyDescent="0.3">
      <c r="P160" t="s">
        <v>368</v>
      </c>
      <c r="Q160" t="s">
        <v>122</v>
      </c>
      <c r="R160" t="s">
        <v>147</v>
      </c>
      <c r="S160" t="s">
        <v>52</v>
      </c>
      <c r="T160" s="5">
        <v>19680</v>
      </c>
    </row>
    <row r="161" spans="16:20" x14ac:dyDescent="0.3">
      <c r="P161" t="s">
        <v>370</v>
      </c>
      <c r="Q161" t="s">
        <v>133</v>
      </c>
      <c r="R161" t="s">
        <v>109</v>
      </c>
      <c r="S161" t="s">
        <v>52</v>
      </c>
      <c r="T161" s="5">
        <v>5920</v>
      </c>
    </row>
    <row r="162" spans="16:20" x14ac:dyDescent="0.3">
      <c r="P162" t="s">
        <v>372</v>
      </c>
      <c r="Q162" t="s">
        <v>122</v>
      </c>
      <c r="R162" t="s">
        <v>97</v>
      </c>
      <c r="S162" t="s">
        <v>35</v>
      </c>
      <c r="T162" s="5">
        <v>336066</v>
      </c>
    </row>
    <row r="163" spans="16:20" x14ac:dyDescent="0.3">
      <c r="P163" t="s">
        <v>374</v>
      </c>
      <c r="Q163" t="s">
        <v>75</v>
      </c>
      <c r="R163" t="s">
        <v>41</v>
      </c>
      <c r="S163" t="s">
        <v>42</v>
      </c>
      <c r="T163" s="5">
        <v>27167</v>
      </c>
    </row>
    <row r="164" spans="16:20" x14ac:dyDescent="0.3">
      <c r="P164" t="s">
        <v>375</v>
      </c>
      <c r="Q164" t="s">
        <v>125</v>
      </c>
      <c r="R164" t="s">
        <v>79</v>
      </c>
      <c r="S164" t="s">
        <v>26</v>
      </c>
      <c r="T164" s="5">
        <v>52130</v>
      </c>
    </row>
    <row r="165" spans="16:20" x14ac:dyDescent="0.3">
      <c r="P165" t="s">
        <v>377</v>
      </c>
      <c r="Q165" t="s">
        <v>40</v>
      </c>
      <c r="R165" t="s">
        <v>86</v>
      </c>
      <c r="S165" t="s">
        <v>17</v>
      </c>
      <c r="T165" s="5">
        <v>2560</v>
      </c>
    </row>
    <row r="166" spans="16:20" x14ac:dyDescent="0.3">
      <c r="P166" t="s">
        <v>378</v>
      </c>
      <c r="Q166" t="s">
        <v>33</v>
      </c>
      <c r="R166" t="s">
        <v>130</v>
      </c>
      <c r="S166" t="s">
        <v>35</v>
      </c>
      <c r="T166" s="5">
        <v>512296</v>
      </c>
    </row>
    <row r="167" spans="16:20" x14ac:dyDescent="0.3">
      <c r="P167" t="s">
        <v>380</v>
      </c>
      <c r="Q167" t="s">
        <v>125</v>
      </c>
      <c r="R167" t="s">
        <v>218</v>
      </c>
      <c r="S167" t="s">
        <v>17</v>
      </c>
      <c r="T167" s="5">
        <v>6328</v>
      </c>
    </row>
    <row r="168" spans="16:20" x14ac:dyDescent="0.3">
      <c r="P168" t="s">
        <v>382</v>
      </c>
      <c r="Q168" t="s">
        <v>112</v>
      </c>
      <c r="R168" t="s">
        <v>90</v>
      </c>
      <c r="S168" t="s">
        <v>42</v>
      </c>
      <c r="T168" s="5">
        <v>5538</v>
      </c>
    </row>
    <row r="169" spans="16:20" x14ac:dyDescent="0.3">
      <c r="P169" t="s">
        <v>384</v>
      </c>
      <c r="Q169" t="s">
        <v>45</v>
      </c>
      <c r="R169" t="s">
        <v>116</v>
      </c>
      <c r="S169" t="s">
        <v>17</v>
      </c>
      <c r="T169" s="5">
        <v>1756</v>
      </c>
    </row>
    <row r="170" spans="16:20" x14ac:dyDescent="0.3">
      <c r="P170" t="s">
        <v>386</v>
      </c>
      <c r="Q170" t="s">
        <v>112</v>
      </c>
      <c r="R170" t="s">
        <v>16</v>
      </c>
      <c r="S170" t="s">
        <v>17</v>
      </c>
      <c r="T170" s="5">
        <v>2268</v>
      </c>
    </row>
    <row r="171" spans="16:20" x14ac:dyDescent="0.3">
      <c r="P171" t="s">
        <v>388</v>
      </c>
      <c r="Q171" t="s">
        <v>50</v>
      </c>
      <c r="R171" t="s">
        <v>16</v>
      </c>
      <c r="S171" t="s">
        <v>17</v>
      </c>
      <c r="T171" s="5">
        <v>2379</v>
      </c>
    </row>
    <row r="172" spans="16:20" x14ac:dyDescent="0.3">
      <c r="P172" t="s">
        <v>389</v>
      </c>
      <c r="Q172" t="s">
        <v>33</v>
      </c>
      <c r="R172" t="s">
        <v>159</v>
      </c>
      <c r="S172" t="s">
        <v>42</v>
      </c>
      <c r="T172" s="5">
        <v>5860</v>
      </c>
    </row>
    <row r="173" spans="16:20" x14ac:dyDescent="0.3">
      <c r="P173" t="s">
        <v>390</v>
      </c>
      <c r="Q173" t="s">
        <v>103</v>
      </c>
      <c r="R173" t="s">
        <v>116</v>
      </c>
      <c r="S173" t="s">
        <v>17</v>
      </c>
      <c r="T173" s="5">
        <v>8748</v>
      </c>
    </row>
    <row r="174" spans="16:20" x14ac:dyDescent="0.3">
      <c r="P174" t="s">
        <v>392</v>
      </c>
      <c r="Q174" t="s">
        <v>24</v>
      </c>
      <c r="R174" t="s">
        <v>25</v>
      </c>
      <c r="S174" t="s">
        <v>26</v>
      </c>
      <c r="T174" s="5">
        <v>43950</v>
      </c>
    </row>
    <row r="175" spans="16:20" x14ac:dyDescent="0.3">
      <c r="P175" t="s">
        <v>394</v>
      </c>
      <c r="Q175" t="s">
        <v>75</v>
      </c>
      <c r="R175" t="s">
        <v>59</v>
      </c>
      <c r="S175" t="s">
        <v>26</v>
      </c>
      <c r="T175" s="5">
        <v>5037</v>
      </c>
    </row>
    <row r="176" spans="16:20" x14ac:dyDescent="0.3">
      <c r="P176" t="s">
        <v>395</v>
      </c>
      <c r="Q176" t="s">
        <v>75</v>
      </c>
      <c r="R176" t="s">
        <v>218</v>
      </c>
      <c r="S176" t="s">
        <v>17</v>
      </c>
      <c r="T176" s="5">
        <v>6136</v>
      </c>
    </row>
    <row r="177" spans="16:20" x14ac:dyDescent="0.3">
      <c r="P177" t="s">
        <v>397</v>
      </c>
      <c r="Q177" t="s">
        <v>40</v>
      </c>
      <c r="R177" t="s">
        <v>16</v>
      </c>
      <c r="S177" t="s">
        <v>17</v>
      </c>
      <c r="T177" s="5">
        <v>3234</v>
      </c>
    </row>
    <row r="178" spans="16:20" x14ac:dyDescent="0.3">
      <c r="P178" t="s">
        <v>399</v>
      </c>
      <c r="Q178" t="s">
        <v>75</v>
      </c>
      <c r="R178" t="s">
        <v>86</v>
      </c>
      <c r="S178" t="s">
        <v>17</v>
      </c>
      <c r="T178" s="5">
        <v>3546</v>
      </c>
    </row>
    <row r="179" spans="16:20" x14ac:dyDescent="0.3">
      <c r="P179" t="s">
        <v>401</v>
      </c>
      <c r="Q179" t="s">
        <v>24</v>
      </c>
      <c r="R179" t="s">
        <v>41</v>
      </c>
      <c r="S179" t="s">
        <v>42</v>
      </c>
      <c r="T179" s="5">
        <v>18816</v>
      </c>
    </row>
    <row r="180" spans="16:20" x14ac:dyDescent="0.3">
      <c r="P180" t="s">
        <v>403</v>
      </c>
      <c r="Q180" t="s">
        <v>129</v>
      </c>
      <c r="R180" t="s">
        <v>97</v>
      </c>
      <c r="S180" t="s">
        <v>35</v>
      </c>
      <c r="T180" s="5">
        <v>77340</v>
      </c>
    </row>
    <row r="181" spans="16:20" x14ac:dyDescent="0.3">
      <c r="P181" t="s">
        <v>405</v>
      </c>
      <c r="Q181" t="s">
        <v>170</v>
      </c>
      <c r="R181" t="s">
        <v>79</v>
      </c>
      <c r="S181" t="s">
        <v>26</v>
      </c>
      <c r="T181" s="5">
        <v>12486</v>
      </c>
    </row>
    <row r="182" spans="16:20" x14ac:dyDescent="0.3">
      <c r="P182" t="s">
        <v>407</v>
      </c>
      <c r="Q182" t="s">
        <v>40</v>
      </c>
      <c r="R182" t="s">
        <v>79</v>
      </c>
      <c r="S182" t="s">
        <v>26</v>
      </c>
      <c r="T182" s="5">
        <v>22260</v>
      </c>
    </row>
    <row r="183" spans="16:20" x14ac:dyDescent="0.3">
      <c r="P183" t="s">
        <v>409</v>
      </c>
      <c r="Q183" t="s">
        <v>78</v>
      </c>
      <c r="R183" t="s">
        <v>97</v>
      </c>
      <c r="S183" t="s">
        <v>35</v>
      </c>
      <c r="T183" s="5">
        <v>534835</v>
      </c>
    </row>
    <row r="184" spans="16:20" x14ac:dyDescent="0.3">
      <c r="P184" t="s">
        <v>410</v>
      </c>
      <c r="Q184" t="s">
        <v>133</v>
      </c>
      <c r="R184" t="s">
        <v>46</v>
      </c>
      <c r="S184" t="s">
        <v>42</v>
      </c>
      <c r="T184" s="5">
        <v>11776</v>
      </c>
    </row>
    <row r="185" spans="16:20" x14ac:dyDescent="0.3">
      <c r="P185" t="s">
        <v>412</v>
      </c>
      <c r="Q185" t="s">
        <v>78</v>
      </c>
      <c r="R185" t="s">
        <v>69</v>
      </c>
      <c r="S185" t="s">
        <v>26</v>
      </c>
      <c r="T185" s="5">
        <v>9814</v>
      </c>
    </row>
    <row r="186" spans="16:20" x14ac:dyDescent="0.3">
      <c r="P186" t="s">
        <v>414</v>
      </c>
      <c r="Q186" t="s">
        <v>122</v>
      </c>
      <c r="R186" t="s">
        <v>109</v>
      </c>
      <c r="S186" t="s">
        <v>52</v>
      </c>
      <c r="T186" s="5">
        <v>1886</v>
      </c>
    </row>
    <row r="187" spans="16:20" x14ac:dyDescent="0.3">
      <c r="P187" t="s">
        <v>416</v>
      </c>
      <c r="Q187" t="s">
        <v>68</v>
      </c>
      <c r="R187" t="s">
        <v>97</v>
      </c>
      <c r="S187" t="s">
        <v>35</v>
      </c>
      <c r="T187" s="5">
        <v>197331</v>
      </c>
    </row>
    <row r="188" spans="16:20" x14ac:dyDescent="0.3">
      <c r="P188" t="s">
        <v>417</v>
      </c>
      <c r="Q188" t="s">
        <v>170</v>
      </c>
      <c r="R188" t="s">
        <v>130</v>
      </c>
      <c r="S188" t="s">
        <v>35</v>
      </c>
      <c r="T188" s="5">
        <v>192608</v>
      </c>
    </row>
    <row r="189" spans="16:20" x14ac:dyDescent="0.3">
      <c r="P189" t="s">
        <v>419</v>
      </c>
      <c r="Q189" t="s">
        <v>78</v>
      </c>
      <c r="R189" t="s">
        <v>16</v>
      </c>
      <c r="S189" t="s">
        <v>17</v>
      </c>
      <c r="T189" s="5">
        <v>3372</v>
      </c>
    </row>
    <row r="190" spans="16:20" x14ac:dyDescent="0.3">
      <c r="P190" t="s">
        <v>421</v>
      </c>
      <c r="Q190" t="s">
        <v>15</v>
      </c>
      <c r="R190" t="s">
        <v>159</v>
      </c>
      <c r="S190" t="s">
        <v>42</v>
      </c>
      <c r="T190" s="5">
        <v>16212</v>
      </c>
    </row>
    <row r="191" spans="16:20" x14ac:dyDescent="0.3">
      <c r="P191" t="s">
        <v>423</v>
      </c>
      <c r="Q191" t="s">
        <v>125</v>
      </c>
      <c r="R191" t="s">
        <v>113</v>
      </c>
      <c r="S191" t="s">
        <v>35</v>
      </c>
      <c r="T191" s="5">
        <v>100890</v>
      </c>
    </row>
    <row r="192" spans="16:20" x14ac:dyDescent="0.3">
      <c r="P192" t="s">
        <v>425</v>
      </c>
      <c r="Q192" t="s">
        <v>45</v>
      </c>
      <c r="R192" t="s">
        <v>69</v>
      </c>
      <c r="S192" t="s">
        <v>26</v>
      </c>
      <c r="T192" s="5">
        <v>7252</v>
      </c>
    </row>
    <row r="193" spans="16:20" x14ac:dyDescent="0.3">
      <c r="P193" t="s">
        <v>426</v>
      </c>
      <c r="Q193" t="s">
        <v>58</v>
      </c>
      <c r="R193" t="s">
        <v>113</v>
      </c>
      <c r="S193" t="s">
        <v>35</v>
      </c>
      <c r="T193" s="5">
        <v>257145</v>
      </c>
    </row>
    <row r="194" spans="16:20" x14ac:dyDescent="0.3">
      <c r="P194" t="s">
        <v>428</v>
      </c>
      <c r="Q194" t="s">
        <v>129</v>
      </c>
      <c r="R194" t="s">
        <v>159</v>
      </c>
      <c r="S194" t="s">
        <v>42</v>
      </c>
      <c r="T194" s="5">
        <v>6696</v>
      </c>
    </row>
    <row r="195" spans="16:20" x14ac:dyDescent="0.3">
      <c r="P195" t="s">
        <v>430</v>
      </c>
      <c r="Q195" t="s">
        <v>122</v>
      </c>
      <c r="R195" t="s">
        <v>51</v>
      </c>
      <c r="S195" t="s">
        <v>52</v>
      </c>
      <c r="T195" s="5">
        <v>18112</v>
      </c>
    </row>
    <row r="196" spans="16:20" x14ac:dyDescent="0.3">
      <c r="P196" t="s">
        <v>431</v>
      </c>
      <c r="Q196" t="s">
        <v>78</v>
      </c>
      <c r="R196" t="s">
        <v>109</v>
      </c>
      <c r="S196" t="s">
        <v>52</v>
      </c>
      <c r="T196" s="5">
        <v>18224</v>
      </c>
    </row>
    <row r="197" spans="16:20" x14ac:dyDescent="0.3">
      <c r="P197" t="s">
        <v>433</v>
      </c>
      <c r="Q197" t="s">
        <v>146</v>
      </c>
      <c r="R197" t="s">
        <v>79</v>
      </c>
      <c r="S197" t="s">
        <v>26</v>
      </c>
      <c r="T197" s="5">
        <v>16336</v>
      </c>
    </row>
    <row r="198" spans="16:20" x14ac:dyDescent="0.3">
      <c r="P198" t="s">
        <v>435</v>
      </c>
      <c r="Q198" t="s">
        <v>45</v>
      </c>
      <c r="R198" t="s">
        <v>59</v>
      </c>
      <c r="S198" t="s">
        <v>26</v>
      </c>
      <c r="T198" s="5">
        <v>12404</v>
      </c>
    </row>
    <row r="199" spans="16:20" x14ac:dyDescent="0.3">
      <c r="P199" t="s">
        <v>437</v>
      </c>
      <c r="Q199" t="s">
        <v>72</v>
      </c>
      <c r="R199" t="s">
        <v>130</v>
      </c>
      <c r="S199" t="s">
        <v>35</v>
      </c>
      <c r="T199" s="5">
        <v>101355</v>
      </c>
    </row>
    <row r="200" spans="16:20" x14ac:dyDescent="0.3">
      <c r="P200" t="s">
        <v>438</v>
      </c>
      <c r="Q200" t="s">
        <v>50</v>
      </c>
      <c r="R200" t="s">
        <v>51</v>
      </c>
      <c r="S200" t="s">
        <v>52</v>
      </c>
      <c r="T200" s="5">
        <v>4050</v>
      </c>
    </row>
    <row r="201" spans="16:20" x14ac:dyDescent="0.3">
      <c r="P201" t="s">
        <v>439</v>
      </c>
      <c r="Q201" t="s">
        <v>78</v>
      </c>
      <c r="R201" t="s">
        <v>90</v>
      </c>
      <c r="S201" t="s">
        <v>42</v>
      </c>
      <c r="T201" s="5">
        <v>5900</v>
      </c>
    </row>
    <row r="202" spans="16:20" x14ac:dyDescent="0.3">
      <c r="P202" t="s">
        <v>441</v>
      </c>
      <c r="Q202" t="s">
        <v>170</v>
      </c>
      <c r="R202" t="s">
        <v>51</v>
      </c>
      <c r="S202" t="s">
        <v>52</v>
      </c>
      <c r="T202" s="5">
        <v>9798</v>
      </c>
    </row>
    <row r="203" spans="16:20" x14ac:dyDescent="0.3">
      <c r="P203" t="s">
        <v>442</v>
      </c>
      <c r="Q203" t="s">
        <v>40</v>
      </c>
      <c r="R203" t="s">
        <v>116</v>
      </c>
      <c r="S203" t="s">
        <v>17</v>
      </c>
      <c r="T203" s="5">
        <v>1246</v>
      </c>
    </row>
    <row r="204" spans="16:20" x14ac:dyDescent="0.3">
      <c r="P204" t="s">
        <v>443</v>
      </c>
      <c r="Q204" t="s">
        <v>133</v>
      </c>
      <c r="R204" t="s">
        <v>130</v>
      </c>
      <c r="S204" t="s">
        <v>35</v>
      </c>
      <c r="T204" s="5">
        <v>55722</v>
      </c>
    </row>
    <row r="205" spans="16:20" x14ac:dyDescent="0.3">
      <c r="P205" t="s">
        <v>445</v>
      </c>
      <c r="Q205" t="s">
        <v>68</v>
      </c>
      <c r="R205" t="s">
        <v>86</v>
      </c>
      <c r="S205" t="s">
        <v>17</v>
      </c>
      <c r="T205" s="5">
        <v>1142</v>
      </c>
    </row>
    <row r="206" spans="16:20" x14ac:dyDescent="0.3">
      <c r="P206" t="s">
        <v>447</v>
      </c>
      <c r="Q206" t="s">
        <v>50</v>
      </c>
      <c r="R206" t="s">
        <v>86</v>
      </c>
      <c r="S206" t="s">
        <v>17</v>
      </c>
      <c r="T206" s="5">
        <v>3592</v>
      </c>
    </row>
    <row r="207" spans="16:20" x14ac:dyDescent="0.3">
      <c r="P207" t="s">
        <v>448</v>
      </c>
      <c r="Q207" t="s">
        <v>179</v>
      </c>
      <c r="R207" t="s">
        <v>25</v>
      </c>
      <c r="S207" t="s">
        <v>26</v>
      </c>
      <c r="T207" s="5">
        <v>9840</v>
      </c>
    </row>
    <row r="208" spans="16:20" x14ac:dyDescent="0.3">
      <c r="P208" t="s">
        <v>449</v>
      </c>
      <c r="Q208" t="s">
        <v>15</v>
      </c>
      <c r="R208" t="s">
        <v>116</v>
      </c>
      <c r="S208" t="s">
        <v>17</v>
      </c>
      <c r="T208" s="5">
        <v>6608</v>
      </c>
    </row>
    <row r="209" spans="16:20" x14ac:dyDescent="0.3">
      <c r="P209" t="s">
        <v>451</v>
      </c>
      <c r="Q209" t="s">
        <v>45</v>
      </c>
      <c r="R209" t="s">
        <v>79</v>
      </c>
      <c r="S209" t="s">
        <v>26</v>
      </c>
      <c r="T209" s="5">
        <v>35610</v>
      </c>
    </row>
    <row r="210" spans="16:20" x14ac:dyDescent="0.3">
      <c r="P210" t="s">
        <v>453</v>
      </c>
      <c r="Q210" t="s">
        <v>15</v>
      </c>
      <c r="R210" t="s">
        <v>34</v>
      </c>
      <c r="S210" t="s">
        <v>35</v>
      </c>
      <c r="T210" s="5">
        <v>176015</v>
      </c>
    </row>
    <row r="211" spans="16:20" x14ac:dyDescent="0.3">
      <c r="P211" t="s">
        <v>455</v>
      </c>
      <c r="Q211" t="s">
        <v>103</v>
      </c>
      <c r="R211" t="s">
        <v>116</v>
      </c>
      <c r="S211" t="s">
        <v>17</v>
      </c>
      <c r="T211" s="5">
        <v>7935</v>
      </c>
    </row>
    <row r="212" spans="16:20" x14ac:dyDescent="0.3">
      <c r="P212" t="s">
        <v>457</v>
      </c>
      <c r="Q212" t="s">
        <v>133</v>
      </c>
      <c r="R212" t="s">
        <v>79</v>
      </c>
      <c r="S212" t="s">
        <v>26</v>
      </c>
      <c r="T212" s="5">
        <v>28254</v>
      </c>
    </row>
    <row r="213" spans="16:20" x14ac:dyDescent="0.3">
      <c r="P213" t="s">
        <v>459</v>
      </c>
      <c r="Q213" t="s">
        <v>24</v>
      </c>
      <c r="R213" t="s">
        <v>34</v>
      </c>
      <c r="S213" t="s">
        <v>35</v>
      </c>
      <c r="T213" s="5">
        <v>3987</v>
      </c>
    </row>
    <row r="214" spans="16:20" x14ac:dyDescent="0.3">
      <c r="P214" t="s">
        <v>461</v>
      </c>
      <c r="Q214" t="s">
        <v>146</v>
      </c>
      <c r="R214" t="s">
        <v>16</v>
      </c>
      <c r="S214" t="s">
        <v>17</v>
      </c>
      <c r="T214" s="5">
        <v>5999</v>
      </c>
    </row>
    <row r="215" spans="16:20" x14ac:dyDescent="0.3">
      <c r="P215" t="s">
        <v>463</v>
      </c>
      <c r="Q215" t="s">
        <v>33</v>
      </c>
      <c r="R215" t="s">
        <v>159</v>
      </c>
      <c r="S215" t="s">
        <v>42</v>
      </c>
      <c r="T215" s="5">
        <v>4932</v>
      </c>
    </row>
    <row r="216" spans="16:20" x14ac:dyDescent="0.3">
      <c r="P216" t="s">
        <v>464</v>
      </c>
      <c r="Q216" t="s">
        <v>170</v>
      </c>
      <c r="R216" t="s">
        <v>46</v>
      </c>
      <c r="S216" t="s">
        <v>42</v>
      </c>
      <c r="T216" s="5">
        <v>12405</v>
      </c>
    </row>
    <row r="217" spans="16:20" x14ac:dyDescent="0.3">
      <c r="P217" t="s">
        <v>465</v>
      </c>
      <c r="Q217" t="s">
        <v>170</v>
      </c>
      <c r="R217" t="s">
        <v>16</v>
      </c>
      <c r="S217" t="s">
        <v>17</v>
      </c>
      <c r="T217" s="5">
        <v>5424</v>
      </c>
    </row>
    <row r="218" spans="16:20" x14ac:dyDescent="0.3">
      <c r="P218" t="s">
        <v>466</v>
      </c>
      <c r="Q218" t="s">
        <v>78</v>
      </c>
      <c r="R218" t="s">
        <v>34</v>
      </c>
      <c r="S218" t="s">
        <v>35</v>
      </c>
      <c r="T218" s="5">
        <v>316535</v>
      </c>
    </row>
    <row r="219" spans="16:20" x14ac:dyDescent="0.3">
      <c r="P219" t="s">
        <v>467</v>
      </c>
      <c r="Q219" t="s">
        <v>68</v>
      </c>
      <c r="R219" t="s">
        <v>41</v>
      </c>
      <c r="S219" t="s">
        <v>42</v>
      </c>
      <c r="T219" s="5">
        <v>4266</v>
      </c>
    </row>
    <row r="220" spans="16:20" x14ac:dyDescent="0.3">
      <c r="P220" t="s">
        <v>469</v>
      </c>
      <c r="Q220" t="s">
        <v>146</v>
      </c>
      <c r="R220" t="s">
        <v>41</v>
      </c>
      <c r="S220" t="s">
        <v>42</v>
      </c>
      <c r="T220" s="5">
        <v>24785</v>
      </c>
    </row>
    <row r="221" spans="16:20" x14ac:dyDescent="0.3">
      <c r="P221" t="s">
        <v>471</v>
      </c>
      <c r="Q221" t="s">
        <v>50</v>
      </c>
      <c r="R221" t="s">
        <v>79</v>
      </c>
      <c r="S221" t="s">
        <v>26</v>
      </c>
      <c r="T221" s="5">
        <v>32753</v>
      </c>
    </row>
    <row r="222" spans="16:20" x14ac:dyDescent="0.3">
      <c r="P222" t="s">
        <v>473</v>
      </c>
      <c r="Q222" t="s">
        <v>146</v>
      </c>
      <c r="R222" t="s">
        <v>46</v>
      </c>
      <c r="S222" t="s">
        <v>42</v>
      </c>
      <c r="T222" s="5">
        <v>3184</v>
      </c>
    </row>
    <row r="223" spans="16:20" x14ac:dyDescent="0.3">
      <c r="P223" t="s">
        <v>474</v>
      </c>
      <c r="Q223" t="s">
        <v>45</v>
      </c>
      <c r="R223" t="s">
        <v>59</v>
      </c>
      <c r="S223" t="s">
        <v>26</v>
      </c>
      <c r="T223" s="5">
        <v>18248</v>
      </c>
    </row>
    <row r="224" spans="16:20" x14ac:dyDescent="0.3">
      <c r="P224" t="s">
        <v>476</v>
      </c>
      <c r="Q224" t="s">
        <v>15</v>
      </c>
      <c r="R224" t="s">
        <v>147</v>
      </c>
      <c r="S224" t="s">
        <v>52</v>
      </c>
      <c r="T224" s="5">
        <v>7492</v>
      </c>
    </row>
    <row r="225" spans="16:20" x14ac:dyDescent="0.3">
      <c r="P225" t="s">
        <v>478</v>
      </c>
      <c r="Q225" t="s">
        <v>129</v>
      </c>
      <c r="R225" t="s">
        <v>116</v>
      </c>
      <c r="S225" t="s">
        <v>17</v>
      </c>
      <c r="T225" s="5">
        <v>1644</v>
      </c>
    </row>
    <row r="226" spans="16:20" x14ac:dyDescent="0.3">
      <c r="P226" t="s">
        <v>479</v>
      </c>
      <c r="Q226" t="s">
        <v>33</v>
      </c>
      <c r="R226" t="s">
        <v>16</v>
      </c>
      <c r="S226" t="s">
        <v>17</v>
      </c>
      <c r="T226" s="5">
        <v>6488</v>
      </c>
    </row>
    <row r="227" spans="16:20" x14ac:dyDescent="0.3">
      <c r="P227" t="s">
        <v>481</v>
      </c>
      <c r="Q227" t="s">
        <v>33</v>
      </c>
      <c r="R227" t="s">
        <v>41</v>
      </c>
      <c r="S227" t="s">
        <v>42</v>
      </c>
      <c r="T227" s="5">
        <v>15631</v>
      </c>
    </row>
    <row r="228" spans="16:20" x14ac:dyDescent="0.3">
      <c r="P228" t="s">
        <v>483</v>
      </c>
      <c r="Q228" t="s">
        <v>78</v>
      </c>
      <c r="R228" t="s">
        <v>90</v>
      </c>
      <c r="S228" t="s">
        <v>42</v>
      </c>
      <c r="T228" s="5">
        <v>30696</v>
      </c>
    </row>
    <row r="229" spans="16:20" x14ac:dyDescent="0.3">
      <c r="P229" t="s">
        <v>484</v>
      </c>
      <c r="Q229" t="s">
        <v>103</v>
      </c>
      <c r="R229" t="s">
        <v>90</v>
      </c>
      <c r="S229" t="s">
        <v>42</v>
      </c>
      <c r="T229" s="5">
        <v>5478</v>
      </c>
    </row>
    <row r="230" spans="16:20" x14ac:dyDescent="0.3">
      <c r="P230" t="s">
        <v>486</v>
      </c>
      <c r="Q230" t="s">
        <v>58</v>
      </c>
      <c r="R230" t="s">
        <v>79</v>
      </c>
      <c r="S230" t="s">
        <v>26</v>
      </c>
      <c r="T230" s="5">
        <v>3432</v>
      </c>
    </row>
    <row r="231" spans="16:20" x14ac:dyDescent="0.3">
      <c r="P231" t="s">
        <v>488</v>
      </c>
      <c r="Q231" t="s">
        <v>58</v>
      </c>
      <c r="R231" t="s">
        <v>63</v>
      </c>
      <c r="S231" t="s">
        <v>52</v>
      </c>
      <c r="T231" s="5">
        <v>10314</v>
      </c>
    </row>
    <row r="232" spans="16:20" x14ac:dyDescent="0.3">
      <c r="P232" t="s">
        <v>490</v>
      </c>
      <c r="Q232" t="s">
        <v>170</v>
      </c>
      <c r="R232" t="s">
        <v>51</v>
      </c>
      <c r="S232" t="s">
        <v>52</v>
      </c>
      <c r="T232" s="5">
        <v>2404</v>
      </c>
    </row>
    <row r="233" spans="16:20" x14ac:dyDescent="0.3">
      <c r="P233" t="s">
        <v>492</v>
      </c>
      <c r="Q233" t="s">
        <v>75</v>
      </c>
      <c r="R233" t="s">
        <v>34</v>
      </c>
      <c r="S233" t="s">
        <v>35</v>
      </c>
      <c r="T233" s="5">
        <v>79388</v>
      </c>
    </row>
    <row r="234" spans="16:20" x14ac:dyDescent="0.3">
      <c r="P234" t="s">
        <v>494</v>
      </c>
      <c r="Q234" t="s">
        <v>122</v>
      </c>
      <c r="R234" t="s">
        <v>130</v>
      </c>
      <c r="S234" t="s">
        <v>35</v>
      </c>
      <c r="T234" s="5">
        <v>199074</v>
      </c>
    </row>
    <row r="235" spans="16:20" x14ac:dyDescent="0.3">
      <c r="P235" t="s">
        <v>495</v>
      </c>
      <c r="Q235" t="s">
        <v>45</v>
      </c>
      <c r="R235" t="s">
        <v>130</v>
      </c>
      <c r="S235" t="s">
        <v>35</v>
      </c>
      <c r="T235" s="5">
        <v>232746</v>
      </c>
    </row>
    <row r="236" spans="16:20" x14ac:dyDescent="0.3">
      <c r="P236" t="s">
        <v>496</v>
      </c>
      <c r="Q236" t="s">
        <v>146</v>
      </c>
      <c r="R236" t="s">
        <v>109</v>
      </c>
      <c r="S236" t="s">
        <v>52</v>
      </c>
      <c r="T236" s="5">
        <v>6232</v>
      </c>
    </row>
    <row r="237" spans="16:20" x14ac:dyDescent="0.3">
      <c r="P237" t="s">
        <v>497</v>
      </c>
      <c r="Q237" t="s">
        <v>133</v>
      </c>
      <c r="R237" t="s">
        <v>147</v>
      </c>
      <c r="S237" t="s">
        <v>52</v>
      </c>
      <c r="T237" s="5">
        <v>1275</v>
      </c>
    </row>
    <row r="238" spans="16:20" x14ac:dyDescent="0.3">
      <c r="P238" t="s">
        <v>498</v>
      </c>
      <c r="Q238" t="s">
        <v>40</v>
      </c>
      <c r="R238" t="s">
        <v>69</v>
      </c>
      <c r="S238" t="s">
        <v>26</v>
      </c>
      <c r="T238" s="5">
        <v>16056</v>
      </c>
    </row>
    <row r="239" spans="16:20" x14ac:dyDescent="0.3">
      <c r="P239" t="s">
        <v>499</v>
      </c>
      <c r="Q239" t="s">
        <v>15</v>
      </c>
      <c r="R239" t="s">
        <v>16</v>
      </c>
      <c r="S239" t="s">
        <v>17</v>
      </c>
      <c r="T239" s="5">
        <v>3204</v>
      </c>
    </row>
    <row r="240" spans="16:20" x14ac:dyDescent="0.3">
      <c r="P240" t="s">
        <v>500</v>
      </c>
      <c r="Q240" t="s">
        <v>40</v>
      </c>
      <c r="R240" t="s">
        <v>147</v>
      </c>
      <c r="S240" t="s">
        <v>52</v>
      </c>
      <c r="T240" s="5">
        <v>6168</v>
      </c>
    </row>
    <row r="241" spans="16:20" x14ac:dyDescent="0.3">
      <c r="P241" t="s">
        <v>501</v>
      </c>
      <c r="Q241" t="s">
        <v>179</v>
      </c>
      <c r="R241" t="s">
        <v>90</v>
      </c>
      <c r="S241" t="s">
        <v>42</v>
      </c>
      <c r="T241" s="5">
        <v>1417</v>
      </c>
    </row>
    <row r="242" spans="16:20" x14ac:dyDescent="0.3">
      <c r="P242" t="s">
        <v>502</v>
      </c>
      <c r="Q242" t="s">
        <v>75</v>
      </c>
      <c r="R242" t="s">
        <v>109</v>
      </c>
      <c r="S242" t="s">
        <v>52</v>
      </c>
      <c r="T242" s="5">
        <v>12104</v>
      </c>
    </row>
    <row r="243" spans="16:20" x14ac:dyDescent="0.3">
      <c r="P243" t="s">
        <v>504</v>
      </c>
      <c r="Q243" t="s">
        <v>58</v>
      </c>
      <c r="R243" t="s">
        <v>97</v>
      </c>
      <c r="S243" t="s">
        <v>35</v>
      </c>
      <c r="T243" s="5">
        <v>111030</v>
      </c>
    </row>
    <row r="244" spans="16:20" x14ac:dyDescent="0.3">
      <c r="P244" t="s">
        <v>506</v>
      </c>
      <c r="Q244" t="s">
        <v>78</v>
      </c>
      <c r="R244" t="s">
        <v>218</v>
      </c>
      <c r="S244" t="s">
        <v>17</v>
      </c>
      <c r="T244" s="5">
        <v>10549</v>
      </c>
    </row>
    <row r="245" spans="16:20" x14ac:dyDescent="0.3">
      <c r="P245" t="s">
        <v>508</v>
      </c>
      <c r="Q245" t="s">
        <v>68</v>
      </c>
      <c r="R245" t="s">
        <v>46</v>
      </c>
      <c r="S245" t="s">
        <v>42</v>
      </c>
      <c r="T245" s="5">
        <v>37653</v>
      </c>
    </row>
    <row r="246" spans="16:20" x14ac:dyDescent="0.3">
      <c r="P246" t="s">
        <v>509</v>
      </c>
      <c r="Q246" t="s">
        <v>170</v>
      </c>
      <c r="R246" t="s">
        <v>63</v>
      </c>
      <c r="S246" t="s">
        <v>52</v>
      </c>
      <c r="T246" s="5">
        <v>570</v>
      </c>
    </row>
    <row r="247" spans="16:20" x14ac:dyDescent="0.3">
      <c r="P247" t="s">
        <v>511</v>
      </c>
      <c r="Q247" t="s">
        <v>68</v>
      </c>
      <c r="R247" t="s">
        <v>90</v>
      </c>
      <c r="S247" t="s">
        <v>42</v>
      </c>
      <c r="T247" s="5">
        <v>4806</v>
      </c>
    </row>
    <row r="248" spans="16:20" x14ac:dyDescent="0.3">
      <c r="P248" t="s">
        <v>512</v>
      </c>
      <c r="Q248" t="s">
        <v>58</v>
      </c>
      <c r="R248" t="s">
        <v>25</v>
      </c>
      <c r="S248" t="s">
        <v>26</v>
      </c>
      <c r="T248" s="5">
        <v>10254</v>
      </c>
    </row>
    <row r="249" spans="16:20" x14ac:dyDescent="0.3">
      <c r="P249" t="s">
        <v>513</v>
      </c>
      <c r="Q249" t="s">
        <v>125</v>
      </c>
      <c r="R249" t="s">
        <v>109</v>
      </c>
      <c r="S249" t="s">
        <v>52</v>
      </c>
      <c r="T249" s="5">
        <v>5685</v>
      </c>
    </row>
    <row r="250" spans="16:20" x14ac:dyDescent="0.3">
      <c r="P250" t="s">
        <v>515</v>
      </c>
      <c r="Q250" t="s">
        <v>170</v>
      </c>
      <c r="R250" t="s">
        <v>130</v>
      </c>
      <c r="S250" t="s">
        <v>35</v>
      </c>
      <c r="T250" s="5">
        <v>161890</v>
      </c>
    </row>
    <row r="251" spans="16:20" x14ac:dyDescent="0.3">
      <c r="P251" t="s">
        <v>517</v>
      </c>
      <c r="Q251" t="s">
        <v>40</v>
      </c>
      <c r="R251" t="s">
        <v>51</v>
      </c>
      <c r="S251" t="s">
        <v>52</v>
      </c>
      <c r="T251" s="5">
        <v>16555</v>
      </c>
    </row>
    <row r="252" spans="16:20" x14ac:dyDescent="0.3">
      <c r="P252" t="s">
        <v>518</v>
      </c>
      <c r="Q252" t="s">
        <v>179</v>
      </c>
      <c r="R252" t="s">
        <v>25</v>
      </c>
      <c r="S252" t="s">
        <v>26</v>
      </c>
      <c r="T252" s="5">
        <v>33112</v>
      </c>
    </row>
    <row r="253" spans="16:20" x14ac:dyDescent="0.3">
      <c r="P253" t="s">
        <v>520</v>
      </c>
      <c r="Q253" t="s">
        <v>125</v>
      </c>
      <c r="R253" t="s">
        <v>69</v>
      </c>
      <c r="S253" t="s">
        <v>26</v>
      </c>
      <c r="T253" s="5">
        <v>17616</v>
      </c>
    </row>
    <row r="254" spans="16:20" x14ac:dyDescent="0.3">
      <c r="P254" t="s">
        <v>522</v>
      </c>
      <c r="Q254" t="s">
        <v>122</v>
      </c>
      <c r="R254" t="s">
        <v>109</v>
      </c>
      <c r="S254" t="s">
        <v>52</v>
      </c>
      <c r="T254" s="5">
        <v>724</v>
      </c>
    </row>
    <row r="255" spans="16:20" x14ac:dyDescent="0.3">
      <c r="P255" t="s">
        <v>524</v>
      </c>
      <c r="Q255" t="s">
        <v>122</v>
      </c>
      <c r="R255" t="s">
        <v>97</v>
      </c>
      <c r="S255" t="s">
        <v>35</v>
      </c>
      <c r="T255" s="5">
        <v>64640</v>
      </c>
    </row>
    <row r="256" spans="16:20" x14ac:dyDescent="0.3">
      <c r="P256" t="s">
        <v>526</v>
      </c>
      <c r="Q256" t="s">
        <v>58</v>
      </c>
      <c r="R256" t="s">
        <v>90</v>
      </c>
      <c r="S256" t="s">
        <v>42</v>
      </c>
      <c r="T256" s="5">
        <v>25400</v>
      </c>
    </row>
    <row r="257" spans="16:20" x14ac:dyDescent="0.3">
      <c r="P257" t="s">
        <v>528</v>
      </c>
      <c r="Q257" t="s">
        <v>103</v>
      </c>
      <c r="R257" t="s">
        <v>59</v>
      </c>
      <c r="S257" t="s">
        <v>26</v>
      </c>
      <c r="T257" s="5">
        <v>22590</v>
      </c>
    </row>
    <row r="258" spans="16:20" x14ac:dyDescent="0.3">
      <c r="P258" t="s">
        <v>529</v>
      </c>
      <c r="Q258" t="s">
        <v>103</v>
      </c>
      <c r="R258" t="s">
        <v>63</v>
      </c>
      <c r="S258" t="s">
        <v>52</v>
      </c>
      <c r="T258" s="5">
        <v>10913</v>
      </c>
    </row>
    <row r="259" spans="16:20" x14ac:dyDescent="0.3">
      <c r="P259" t="s">
        <v>531</v>
      </c>
      <c r="Q259" t="s">
        <v>78</v>
      </c>
      <c r="R259" t="s">
        <v>86</v>
      </c>
      <c r="S259" t="s">
        <v>17</v>
      </c>
      <c r="T259" s="5">
        <v>6820</v>
      </c>
    </row>
    <row r="260" spans="16:20" x14ac:dyDescent="0.3">
      <c r="P260" t="s">
        <v>532</v>
      </c>
      <c r="Q260" t="s">
        <v>133</v>
      </c>
      <c r="R260" t="s">
        <v>159</v>
      </c>
      <c r="S260" t="s">
        <v>42</v>
      </c>
      <c r="T260" s="5">
        <v>7560</v>
      </c>
    </row>
    <row r="261" spans="16:20" x14ac:dyDescent="0.3">
      <c r="P261" t="s">
        <v>534</v>
      </c>
      <c r="Q261" t="s">
        <v>112</v>
      </c>
      <c r="R261" t="s">
        <v>59</v>
      </c>
      <c r="S261" t="s">
        <v>26</v>
      </c>
      <c r="T261" s="5">
        <v>21936</v>
      </c>
    </row>
    <row r="262" spans="16:20" x14ac:dyDescent="0.3">
      <c r="P262" t="s">
        <v>535</v>
      </c>
      <c r="Q262" t="s">
        <v>75</v>
      </c>
      <c r="R262" t="s">
        <v>41</v>
      </c>
      <c r="S262" t="s">
        <v>42</v>
      </c>
      <c r="T262" s="5">
        <v>16092</v>
      </c>
    </row>
    <row r="263" spans="16:20" x14ac:dyDescent="0.3">
      <c r="P263" t="s">
        <v>537</v>
      </c>
      <c r="Q263" t="s">
        <v>72</v>
      </c>
      <c r="R263" t="s">
        <v>113</v>
      </c>
      <c r="S263" t="s">
        <v>35</v>
      </c>
      <c r="T263" s="5">
        <v>196792</v>
      </c>
    </row>
    <row r="264" spans="16:20" x14ac:dyDescent="0.3">
      <c r="P264" t="s">
        <v>539</v>
      </c>
      <c r="Q264" t="s">
        <v>112</v>
      </c>
      <c r="R264" t="s">
        <v>90</v>
      </c>
      <c r="S264" t="s">
        <v>42</v>
      </c>
      <c r="T264" s="5">
        <v>16331</v>
      </c>
    </row>
    <row r="265" spans="16:20" x14ac:dyDescent="0.3">
      <c r="P265" t="s">
        <v>540</v>
      </c>
      <c r="Q265" t="s">
        <v>75</v>
      </c>
      <c r="R265" t="s">
        <v>63</v>
      </c>
      <c r="S265" t="s">
        <v>52</v>
      </c>
      <c r="T265" s="5">
        <v>4668</v>
      </c>
    </row>
    <row r="266" spans="16:20" x14ac:dyDescent="0.3">
      <c r="P266" t="s">
        <v>541</v>
      </c>
      <c r="Q266" t="s">
        <v>15</v>
      </c>
      <c r="R266" t="s">
        <v>46</v>
      </c>
      <c r="S266" t="s">
        <v>42</v>
      </c>
      <c r="T266" s="5">
        <v>6729</v>
      </c>
    </row>
    <row r="267" spans="16:20" x14ac:dyDescent="0.3">
      <c r="P267" t="s">
        <v>542</v>
      </c>
      <c r="Q267" t="s">
        <v>45</v>
      </c>
      <c r="R267" t="s">
        <v>147</v>
      </c>
      <c r="S267" t="s">
        <v>52</v>
      </c>
      <c r="T267" s="5">
        <v>5253</v>
      </c>
    </row>
    <row r="268" spans="16:20" x14ac:dyDescent="0.3">
      <c r="P268" t="s">
        <v>544</v>
      </c>
      <c r="Q268" t="s">
        <v>15</v>
      </c>
      <c r="R268" t="s">
        <v>16</v>
      </c>
      <c r="S268" t="s">
        <v>17</v>
      </c>
      <c r="T268" s="5">
        <v>8624</v>
      </c>
    </row>
    <row r="269" spans="16:20" x14ac:dyDescent="0.3">
      <c r="P269" t="s">
        <v>546</v>
      </c>
      <c r="Q269" t="s">
        <v>125</v>
      </c>
      <c r="R269" t="s">
        <v>59</v>
      </c>
      <c r="S269" t="s">
        <v>26</v>
      </c>
      <c r="T269" s="5">
        <v>8184</v>
      </c>
    </row>
    <row r="270" spans="16:20" x14ac:dyDescent="0.3">
      <c r="P270" t="s">
        <v>548</v>
      </c>
      <c r="Q270" t="s">
        <v>170</v>
      </c>
      <c r="R270" t="s">
        <v>79</v>
      </c>
      <c r="S270" t="s">
        <v>26</v>
      </c>
      <c r="T270" s="5">
        <v>62524</v>
      </c>
    </row>
    <row r="271" spans="16:20" x14ac:dyDescent="0.3">
      <c r="P271" t="s">
        <v>550</v>
      </c>
      <c r="Q271" t="s">
        <v>146</v>
      </c>
      <c r="R271" t="s">
        <v>16</v>
      </c>
      <c r="S271" t="s">
        <v>17</v>
      </c>
      <c r="T271" s="5">
        <v>4840</v>
      </c>
    </row>
    <row r="272" spans="16:20" x14ac:dyDescent="0.3">
      <c r="P272" t="s">
        <v>551</v>
      </c>
      <c r="Q272" t="s">
        <v>15</v>
      </c>
      <c r="R272" t="s">
        <v>16</v>
      </c>
      <c r="S272" t="s">
        <v>17</v>
      </c>
      <c r="T272" s="5">
        <v>895</v>
      </c>
    </row>
    <row r="273" spans="16:20" x14ac:dyDescent="0.3">
      <c r="P273" t="s">
        <v>552</v>
      </c>
      <c r="Q273" t="s">
        <v>103</v>
      </c>
      <c r="R273" t="s">
        <v>97</v>
      </c>
      <c r="S273" t="s">
        <v>35</v>
      </c>
      <c r="T273" s="5">
        <v>237105</v>
      </c>
    </row>
    <row r="274" spans="16:20" x14ac:dyDescent="0.3">
      <c r="P274" t="s">
        <v>553</v>
      </c>
      <c r="Q274" t="s">
        <v>24</v>
      </c>
      <c r="R274" t="s">
        <v>147</v>
      </c>
      <c r="S274" t="s">
        <v>52</v>
      </c>
      <c r="T274" s="5">
        <v>674</v>
      </c>
    </row>
    <row r="275" spans="16:20" x14ac:dyDescent="0.3">
      <c r="P275" t="s">
        <v>554</v>
      </c>
      <c r="Q275" t="s">
        <v>170</v>
      </c>
      <c r="R275" t="s">
        <v>25</v>
      </c>
      <c r="S275" t="s">
        <v>26</v>
      </c>
      <c r="T275" s="5">
        <v>24060</v>
      </c>
    </row>
    <row r="276" spans="16:20" x14ac:dyDescent="0.3">
      <c r="P276" t="s">
        <v>556</v>
      </c>
      <c r="Q276" t="s">
        <v>15</v>
      </c>
      <c r="R276" t="s">
        <v>25</v>
      </c>
      <c r="S276" t="s">
        <v>26</v>
      </c>
      <c r="T276" s="5">
        <v>39788</v>
      </c>
    </row>
    <row r="277" spans="16:20" x14ac:dyDescent="0.3">
      <c r="P277" t="s">
        <v>558</v>
      </c>
      <c r="Q277" t="s">
        <v>50</v>
      </c>
      <c r="R277" t="s">
        <v>159</v>
      </c>
      <c r="S277" t="s">
        <v>42</v>
      </c>
      <c r="T277" s="5">
        <v>23824</v>
      </c>
    </row>
    <row r="278" spans="16:20" x14ac:dyDescent="0.3">
      <c r="P278" t="s">
        <v>560</v>
      </c>
      <c r="Q278" t="s">
        <v>133</v>
      </c>
      <c r="R278" t="s">
        <v>90</v>
      </c>
      <c r="S278" t="s">
        <v>42</v>
      </c>
      <c r="T278" s="5">
        <v>38192</v>
      </c>
    </row>
    <row r="279" spans="16:20" x14ac:dyDescent="0.3">
      <c r="P279" t="s">
        <v>562</v>
      </c>
      <c r="Q279" t="s">
        <v>170</v>
      </c>
      <c r="R279" t="s">
        <v>59</v>
      </c>
      <c r="S279" t="s">
        <v>26</v>
      </c>
      <c r="T279" s="5">
        <v>6756</v>
      </c>
    </row>
    <row r="280" spans="16:20" x14ac:dyDescent="0.3">
      <c r="P280" t="s">
        <v>563</v>
      </c>
      <c r="Q280" t="s">
        <v>68</v>
      </c>
      <c r="R280" t="s">
        <v>41</v>
      </c>
      <c r="S280" t="s">
        <v>42</v>
      </c>
      <c r="T280" s="5">
        <v>23560</v>
      </c>
    </row>
    <row r="281" spans="16:20" x14ac:dyDescent="0.3">
      <c r="P281" t="s">
        <v>565</v>
      </c>
      <c r="Q281" t="s">
        <v>170</v>
      </c>
      <c r="R281" t="s">
        <v>51</v>
      </c>
      <c r="S281" t="s">
        <v>52</v>
      </c>
      <c r="T281" s="5">
        <v>5260</v>
      </c>
    </row>
    <row r="282" spans="16:20" x14ac:dyDescent="0.3">
      <c r="P282" t="s">
        <v>566</v>
      </c>
      <c r="Q282" t="s">
        <v>78</v>
      </c>
      <c r="R282" t="s">
        <v>25</v>
      </c>
      <c r="S282" t="s">
        <v>26</v>
      </c>
      <c r="T282" s="5">
        <v>6968</v>
      </c>
    </row>
    <row r="283" spans="16:20" x14ac:dyDescent="0.3">
      <c r="P283" t="s">
        <v>567</v>
      </c>
      <c r="Q283" t="s">
        <v>103</v>
      </c>
      <c r="R283" t="s">
        <v>79</v>
      </c>
      <c r="S283" t="s">
        <v>26</v>
      </c>
      <c r="T283" s="5">
        <v>15318</v>
      </c>
    </row>
    <row r="284" spans="16:20" x14ac:dyDescent="0.3">
      <c r="P284" t="s">
        <v>568</v>
      </c>
      <c r="Q284" t="s">
        <v>179</v>
      </c>
      <c r="R284" t="s">
        <v>159</v>
      </c>
      <c r="S284" t="s">
        <v>42</v>
      </c>
      <c r="T284" s="5">
        <v>36309</v>
      </c>
    </row>
    <row r="285" spans="16:20" x14ac:dyDescent="0.3">
      <c r="P285" t="s">
        <v>569</v>
      </c>
      <c r="Q285" t="s">
        <v>78</v>
      </c>
      <c r="R285" t="s">
        <v>63</v>
      </c>
      <c r="S285" t="s">
        <v>52</v>
      </c>
      <c r="T285" s="5">
        <v>4332</v>
      </c>
    </row>
    <row r="286" spans="16:20" x14ac:dyDescent="0.3">
      <c r="P286" t="s">
        <v>571</v>
      </c>
      <c r="Q286" t="s">
        <v>40</v>
      </c>
      <c r="R286" t="s">
        <v>25</v>
      </c>
      <c r="S286" t="s">
        <v>26</v>
      </c>
      <c r="T286" s="5">
        <v>36218</v>
      </c>
    </row>
    <row r="287" spans="16:20" x14ac:dyDescent="0.3">
      <c r="P287" t="s">
        <v>572</v>
      </c>
      <c r="Q287" t="s">
        <v>78</v>
      </c>
      <c r="R287" t="s">
        <v>218</v>
      </c>
      <c r="S287" t="s">
        <v>17</v>
      </c>
      <c r="T287" s="5">
        <v>1034</v>
      </c>
    </row>
    <row r="288" spans="16:20" x14ac:dyDescent="0.3">
      <c r="P288" t="s">
        <v>574</v>
      </c>
      <c r="Q288" t="s">
        <v>45</v>
      </c>
      <c r="R288" t="s">
        <v>116</v>
      </c>
      <c r="S288" t="s">
        <v>17</v>
      </c>
      <c r="T288" s="5">
        <v>11921</v>
      </c>
    </row>
    <row r="289" spans="16:20" x14ac:dyDescent="0.3">
      <c r="P289" t="s">
        <v>575</v>
      </c>
      <c r="Q289" t="s">
        <v>50</v>
      </c>
      <c r="R289" t="s">
        <v>79</v>
      </c>
      <c r="S289" t="s">
        <v>26</v>
      </c>
      <c r="T289" s="5">
        <v>18235</v>
      </c>
    </row>
    <row r="290" spans="16:20" x14ac:dyDescent="0.3">
      <c r="P290" t="s">
        <v>577</v>
      </c>
      <c r="Q290" t="s">
        <v>33</v>
      </c>
      <c r="R290" t="s">
        <v>59</v>
      </c>
      <c r="S290" t="s">
        <v>26</v>
      </c>
      <c r="T290" s="5">
        <v>25320</v>
      </c>
    </row>
    <row r="291" spans="16:20" x14ac:dyDescent="0.3">
      <c r="P291" t="s">
        <v>578</v>
      </c>
      <c r="Q291" t="s">
        <v>133</v>
      </c>
      <c r="R291" t="s">
        <v>59</v>
      </c>
      <c r="S291" t="s">
        <v>26</v>
      </c>
      <c r="T291" s="5">
        <v>22872</v>
      </c>
    </row>
    <row r="292" spans="16:20" x14ac:dyDescent="0.3">
      <c r="P292" t="s">
        <v>580</v>
      </c>
      <c r="Q292" t="s">
        <v>68</v>
      </c>
      <c r="R292" t="s">
        <v>34</v>
      </c>
      <c r="S292" t="s">
        <v>35</v>
      </c>
      <c r="T292" s="5">
        <v>245874</v>
      </c>
    </row>
    <row r="293" spans="16:20" x14ac:dyDescent="0.3">
      <c r="P293" t="s">
        <v>582</v>
      </c>
      <c r="Q293" t="s">
        <v>112</v>
      </c>
      <c r="R293" t="s">
        <v>63</v>
      </c>
      <c r="S293" t="s">
        <v>52</v>
      </c>
      <c r="T293" s="5">
        <v>4284</v>
      </c>
    </row>
    <row r="294" spans="16:20" x14ac:dyDescent="0.3">
      <c r="P294" t="s">
        <v>584</v>
      </c>
      <c r="Q294" t="s">
        <v>75</v>
      </c>
      <c r="R294" t="s">
        <v>218</v>
      </c>
      <c r="S294" t="s">
        <v>17</v>
      </c>
      <c r="T294" s="5">
        <v>3824</v>
      </c>
    </row>
    <row r="295" spans="16:20" x14ac:dyDescent="0.3">
      <c r="P295" t="s">
        <v>586</v>
      </c>
      <c r="Q295" t="s">
        <v>75</v>
      </c>
      <c r="R295" t="s">
        <v>86</v>
      </c>
      <c r="S295" t="s">
        <v>17</v>
      </c>
      <c r="T295" s="5">
        <v>11368</v>
      </c>
    </row>
    <row r="296" spans="16:20" x14ac:dyDescent="0.3">
      <c r="P296" t="s">
        <v>588</v>
      </c>
      <c r="Q296" t="s">
        <v>15</v>
      </c>
      <c r="R296" t="s">
        <v>165</v>
      </c>
      <c r="S296" t="s">
        <v>35</v>
      </c>
      <c r="T296" s="5">
        <v>213440</v>
      </c>
    </row>
    <row r="297" spans="16:20" x14ac:dyDescent="0.3">
      <c r="P297" t="s">
        <v>590</v>
      </c>
      <c r="Q297" t="s">
        <v>45</v>
      </c>
      <c r="R297" t="s">
        <v>25</v>
      </c>
      <c r="S297" t="s">
        <v>26</v>
      </c>
      <c r="T297" s="5">
        <v>2538</v>
      </c>
    </row>
    <row r="298" spans="16:20" x14ac:dyDescent="0.3">
      <c r="P298" t="s">
        <v>591</v>
      </c>
      <c r="Q298" t="s">
        <v>72</v>
      </c>
      <c r="R298" t="s">
        <v>90</v>
      </c>
      <c r="S298" t="s">
        <v>42</v>
      </c>
      <c r="T298" s="5">
        <v>2501</v>
      </c>
    </row>
    <row r="299" spans="16:20" x14ac:dyDescent="0.3">
      <c r="P299" t="s">
        <v>592</v>
      </c>
      <c r="Q299" t="s">
        <v>179</v>
      </c>
      <c r="R299" t="s">
        <v>79</v>
      </c>
      <c r="S299" t="s">
        <v>26</v>
      </c>
      <c r="T299" s="5">
        <v>2194</v>
      </c>
    </row>
    <row r="300" spans="16:20" x14ac:dyDescent="0.3">
      <c r="P300" t="s">
        <v>594</v>
      </c>
      <c r="Q300" t="s">
        <v>78</v>
      </c>
      <c r="R300" t="s">
        <v>63</v>
      </c>
      <c r="S300" t="s">
        <v>52</v>
      </c>
      <c r="T300" s="5">
        <v>3595</v>
      </c>
    </row>
    <row r="301" spans="16:20" x14ac:dyDescent="0.3">
      <c r="P301" t="s">
        <v>596</v>
      </c>
      <c r="Q301" t="s">
        <v>179</v>
      </c>
      <c r="R301" t="s">
        <v>113</v>
      </c>
      <c r="S301" t="s">
        <v>35</v>
      </c>
      <c r="T301" s="5">
        <v>154440</v>
      </c>
    </row>
    <row r="302" spans="16:20" x14ac:dyDescent="0.3">
      <c r="P302" t="s">
        <v>598</v>
      </c>
      <c r="Q302" t="s">
        <v>24</v>
      </c>
      <c r="R302" t="s">
        <v>165</v>
      </c>
      <c r="S302" t="s">
        <v>35</v>
      </c>
      <c r="T302" s="5">
        <v>383140</v>
      </c>
    </row>
    <row r="303" spans="16:20" x14ac:dyDescent="0.3">
      <c r="P303" t="s">
        <v>600</v>
      </c>
      <c r="Q303" t="s">
        <v>125</v>
      </c>
      <c r="R303" t="s">
        <v>51</v>
      </c>
      <c r="S303" t="s">
        <v>52</v>
      </c>
      <c r="T303" s="5">
        <v>9648</v>
      </c>
    </row>
    <row r="304" spans="16:20" x14ac:dyDescent="0.3">
      <c r="P304" t="s">
        <v>601</v>
      </c>
      <c r="Q304" t="s">
        <v>112</v>
      </c>
      <c r="R304" t="s">
        <v>25</v>
      </c>
      <c r="S304" t="s">
        <v>26</v>
      </c>
      <c r="T304" s="5">
        <v>6156</v>
      </c>
    </row>
    <row r="305" spans="16:20" x14ac:dyDescent="0.3">
      <c r="P305" t="s">
        <v>602</v>
      </c>
      <c r="Q305" t="s">
        <v>72</v>
      </c>
      <c r="R305" t="s">
        <v>79</v>
      </c>
      <c r="S305" t="s">
        <v>26</v>
      </c>
      <c r="T305" s="5">
        <v>33965</v>
      </c>
    </row>
    <row r="306" spans="16:20" x14ac:dyDescent="0.3">
      <c r="P306" t="s">
        <v>604</v>
      </c>
      <c r="Q306" t="s">
        <v>125</v>
      </c>
      <c r="R306" t="s">
        <v>165</v>
      </c>
      <c r="S306" t="s">
        <v>35</v>
      </c>
      <c r="T306" s="5">
        <v>279552</v>
      </c>
    </row>
    <row r="307" spans="16:20" x14ac:dyDescent="0.3">
      <c r="P307" t="s">
        <v>606</v>
      </c>
      <c r="Q307" t="s">
        <v>50</v>
      </c>
      <c r="R307" t="s">
        <v>159</v>
      </c>
      <c r="S307" t="s">
        <v>42</v>
      </c>
      <c r="T307" s="5">
        <v>11965</v>
      </c>
    </row>
    <row r="308" spans="16:20" x14ac:dyDescent="0.3">
      <c r="P308" t="s">
        <v>607</v>
      </c>
      <c r="Q308" t="s">
        <v>58</v>
      </c>
      <c r="R308" t="s">
        <v>218</v>
      </c>
      <c r="S308" t="s">
        <v>17</v>
      </c>
      <c r="T308" s="5">
        <v>4195</v>
      </c>
    </row>
    <row r="309" spans="16:20" x14ac:dyDescent="0.3">
      <c r="P309" t="s">
        <v>608</v>
      </c>
      <c r="Q309" t="s">
        <v>146</v>
      </c>
      <c r="R309" t="s">
        <v>159</v>
      </c>
      <c r="S309" t="s">
        <v>42</v>
      </c>
      <c r="T309" s="5">
        <v>32543</v>
      </c>
    </row>
    <row r="310" spans="16:20" x14ac:dyDescent="0.3">
      <c r="P310" t="s">
        <v>609</v>
      </c>
      <c r="Q310" t="s">
        <v>170</v>
      </c>
      <c r="R310" t="s">
        <v>59</v>
      </c>
      <c r="S310" t="s">
        <v>26</v>
      </c>
      <c r="T310" s="5">
        <v>8214</v>
      </c>
    </row>
    <row r="311" spans="16:20" x14ac:dyDescent="0.3">
      <c r="P311" t="s">
        <v>610</v>
      </c>
      <c r="Q311" t="s">
        <v>72</v>
      </c>
      <c r="R311" t="s">
        <v>90</v>
      </c>
      <c r="S311" t="s">
        <v>42</v>
      </c>
      <c r="T311" s="5">
        <v>8088</v>
      </c>
    </row>
    <row r="312" spans="16:20" x14ac:dyDescent="0.3">
      <c r="P312" t="s">
        <v>612</v>
      </c>
      <c r="Q312" t="s">
        <v>75</v>
      </c>
      <c r="R312" t="s">
        <v>86</v>
      </c>
      <c r="S312" t="s">
        <v>17</v>
      </c>
      <c r="T312" s="5">
        <v>4074</v>
      </c>
    </row>
    <row r="313" spans="16:20" x14ac:dyDescent="0.3">
      <c r="P313" t="s">
        <v>613</v>
      </c>
      <c r="Q313" t="s">
        <v>24</v>
      </c>
      <c r="R313" t="s">
        <v>159</v>
      </c>
      <c r="S313" t="s">
        <v>42</v>
      </c>
      <c r="T313" s="5">
        <v>15323</v>
      </c>
    </row>
    <row r="314" spans="16:20" x14ac:dyDescent="0.3">
      <c r="P314" t="s">
        <v>614</v>
      </c>
      <c r="Q314" t="s">
        <v>72</v>
      </c>
      <c r="R314" t="s">
        <v>25</v>
      </c>
      <c r="S314" t="s">
        <v>26</v>
      </c>
      <c r="T314" s="5">
        <v>28805</v>
      </c>
    </row>
    <row r="315" spans="16:20" x14ac:dyDescent="0.3">
      <c r="P315" t="s">
        <v>616</v>
      </c>
      <c r="Q315" t="s">
        <v>112</v>
      </c>
      <c r="R315" t="s">
        <v>41</v>
      </c>
      <c r="S315" t="s">
        <v>42</v>
      </c>
      <c r="T315" s="5">
        <v>11286</v>
      </c>
    </row>
    <row r="316" spans="16:20" x14ac:dyDescent="0.3">
      <c r="P316" t="s">
        <v>617</v>
      </c>
      <c r="Q316" t="s">
        <v>125</v>
      </c>
      <c r="R316" t="s">
        <v>69</v>
      </c>
      <c r="S316" t="s">
        <v>26</v>
      </c>
      <c r="T316" s="5">
        <v>19200</v>
      </c>
    </row>
    <row r="317" spans="16:20" x14ac:dyDescent="0.3">
      <c r="P317" t="s">
        <v>618</v>
      </c>
      <c r="Q317" t="s">
        <v>179</v>
      </c>
      <c r="R317" t="s">
        <v>69</v>
      </c>
      <c r="S317" t="s">
        <v>26</v>
      </c>
      <c r="T317" s="5">
        <v>10920</v>
      </c>
    </row>
    <row r="318" spans="16:20" x14ac:dyDescent="0.3">
      <c r="P318" t="s">
        <v>620</v>
      </c>
      <c r="Q318" t="s">
        <v>50</v>
      </c>
      <c r="R318" t="s">
        <v>113</v>
      </c>
      <c r="S318" t="s">
        <v>35</v>
      </c>
      <c r="T318" s="5">
        <v>257243</v>
      </c>
    </row>
    <row r="319" spans="16:20" x14ac:dyDescent="0.3">
      <c r="P319" t="s">
        <v>621</v>
      </c>
      <c r="Q319" t="s">
        <v>122</v>
      </c>
      <c r="R319" t="s">
        <v>109</v>
      </c>
      <c r="S319" t="s">
        <v>52</v>
      </c>
      <c r="T319" s="5">
        <v>12048</v>
      </c>
    </row>
    <row r="320" spans="16:20" x14ac:dyDescent="0.3">
      <c r="P320" t="s">
        <v>623</v>
      </c>
      <c r="Q320" t="s">
        <v>75</v>
      </c>
      <c r="R320" t="s">
        <v>51</v>
      </c>
      <c r="S320" t="s">
        <v>52</v>
      </c>
      <c r="T320" s="5">
        <v>1843</v>
      </c>
    </row>
    <row r="321" spans="16:20" x14ac:dyDescent="0.3">
      <c r="P321" t="s">
        <v>625</v>
      </c>
      <c r="Q321" t="s">
        <v>24</v>
      </c>
      <c r="R321" t="s">
        <v>113</v>
      </c>
      <c r="S321" t="s">
        <v>35</v>
      </c>
      <c r="T321" s="5">
        <v>55013</v>
      </c>
    </row>
    <row r="322" spans="16:20" x14ac:dyDescent="0.3">
      <c r="P322" t="s">
        <v>627</v>
      </c>
      <c r="Q322" t="s">
        <v>33</v>
      </c>
      <c r="R322" t="s">
        <v>86</v>
      </c>
      <c r="S322" t="s">
        <v>17</v>
      </c>
      <c r="T322" s="5">
        <v>3490</v>
      </c>
    </row>
    <row r="323" spans="16:20" x14ac:dyDescent="0.3">
      <c r="P323" t="s">
        <v>628</v>
      </c>
      <c r="Q323" t="s">
        <v>75</v>
      </c>
      <c r="R323" t="s">
        <v>147</v>
      </c>
      <c r="S323" t="s">
        <v>52</v>
      </c>
      <c r="T323" s="5">
        <v>13076</v>
      </c>
    </row>
    <row r="324" spans="16:20" x14ac:dyDescent="0.3">
      <c r="P324" t="s">
        <v>629</v>
      </c>
      <c r="Q324" t="s">
        <v>78</v>
      </c>
      <c r="R324" t="s">
        <v>130</v>
      </c>
      <c r="S324" t="s">
        <v>35</v>
      </c>
      <c r="T324" s="5">
        <v>311416</v>
      </c>
    </row>
    <row r="325" spans="16:20" x14ac:dyDescent="0.3">
      <c r="P325" t="s">
        <v>631</v>
      </c>
      <c r="Q325" t="s">
        <v>146</v>
      </c>
      <c r="R325" t="s">
        <v>218</v>
      </c>
      <c r="S325" t="s">
        <v>17</v>
      </c>
      <c r="T325" s="5">
        <v>8605</v>
      </c>
    </row>
    <row r="326" spans="16:20" x14ac:dyDescent="0.3">
      <c r="P326" t="s">
        <v>632</v>
      </c>
      <c r="Q326" t="s">
        <v>103</v>
      </c>
      <c r="R326" t="s">
        <v>41</v>
      </c>
      <c r="S326" t="s">
        <v>42</v>
      </c>
      <c r="T326" s="5">
        <v>6572</v>
      </c>
    </row>
    <row r="327" spans="16:20" x14ac:dyDescent="0.3">
      <c r="P327" t="s">
        <v>633</v>
      </c>
      <c r="Q327" t="s">
        <v>125</v>
      </c>
      <c r="R327" t="s">
        <v>46</v>
      </c>
      <c r="S327" t="s">
        <v>42</v>
      </c>
      <c r="T327" s="5">
        <v>7470</v>
      </c>
    </row>
    <row r="328" spans="16:20" x14ac:dyDescent="0.3">
      <c r="P328" t="s">
        <v>634</v>
      </c>
      <c r="Q328" t="s">
        <v>75</v>
      </c>
      <c r="R328" t="s">
        <v>109</v>
      </c>
      <c r="S328" t="s">
        <v>52</v>
      </c>
      <c r="T328" s="5">
        <v>5088</v>
      </c>
    </row>
    <row r="329" spans="16:20" x14ac:dyDescent="0.3">
      <c r="P329" t="s">
        <v>636</v>
      </c>
      <c r="Q329" t="s">
        <v>50</v>
      </c>
      <c r="R329" t="s">
        <v>25</v>
      </c>
      <c r="S329" t="s">
        <v>26</v>
      </c>
      <c r="T329" s="5">
        <v>31806</v>
      </c>
    </row>
    <row r="330" spans="16:20" x14ac:dyDescent="0.3">
      <c r="P330" t="s">
        <v>638</v>
      </c>
      <c r="Q330" t="s">
        <v>170</v>
      </c>
      <c r="R330" t="s">
        <v>69</v>
      </c>
      <c r="S330" t="s">
        <v>26</v>
      </c>
      <c r="T330" s="5">
        <v>8290</v>
      </c>
    </row>
    <row r="331" spans="16:20" x14ac:dyDescent="0.3">
      <c r="P331" t="s">
        <v>639</v>
      </c>
      <c r="Q331" t="s">
        <v>103</v>
      </c>
      <c r="R331" t="s">
        <v>51</v>
      </c>
      <c r="S331" t="s">
        <v>52</v>
      </c>
      <c r="T331" s="5">
        <v>3462</v>
      </c>
    </row>
    <row r="332" spans="16:20" x14ac:dyDescent="0.3">
      <c r="P332" t="s">
        <v>641</v>
      </c>
      <c r="Q332" t="s">
        <v>58</v>
      </c>
      <c r="R332" t="s">
        <v>51</v>
      </c>
      <c r="S332" t="s">
        <v>52</v>
      </c>
      <c r="T332" s="5">
        <v>7096</v>
      </c>
    </row>
    <row r="333" spans="16:20" x14ac:dyDescent="0.3">
      <c r="P333" t="s">
        <v>642</v>
      </c>
      <c r="Q333" t="s">
        <v>133</v>
      </c>
      <c r="R333" t="s">
        <v>34</v>
      </c>
      <c r="S333" t="s">
        <v>35</v>
      </c>
      <c r="T333" s="5">
        <v>151312</v>
      </c>
    </row>
    <row r="334" spans="16:20" x14ac:dyDescent="0.3">
      <c r="P334" t="s">
        <v>643</v>
      </c>
      <c r="Q334" t="s">
        <v>68</v>
      </c>
      <c r="R334" t="s">
        <v>46</v>
      </c>
      <c r="S334" t="s">
        <v>42</v>
      </c>
      <c r="T334" s="5">
        <v>1191</v>
      </c>
    </row>
    <row r="335" spans="16:20" x14ac:dyDescent="0.3">
      <c r="P335" t="s">
        <v>644</v>
      </c>
      <c r="Q335" t="s">
        <v>58</v>
      </c>
      <c r="R335" t="s">
        <v>130</v>
      </c>
      <c r="S335" t="s">
        <v>35</v>
      </c>
      <c r="T335" s="5">
        <v>282350</v>
      </c>
    </row>
    <row r="336" spans="16:20" x14ac:dyDescent="0.3">
      <c r="P336" t="s">
        <v>645</v>
      </c>
      <c r="Q336" t="s">
        <v>24</v>
      </c>
      <c r="R336" t="s">
        <v>130</v>
      </c>
      <c r="S336" t="s">
        <v>35</v>
      </c>
      <c r="T336" s="5">
        <v>419576</v>
      </c>
    </row>
    <row r="337" spans="16:20" x14ac:dyDescent="0.3">
      <c r="P337" t="s">
        <v>647</v>
      </c>
      <c r="Q337" t="s">
        <v>45</v>
      </c>
      <c r="R337" t="s">
        <v>69</v>
      </c>
      <c r="S337" t="s">
        <v>26</v>
      </c>
      <c r="T337" s="5">
        <v>11982</v>
      </c>
    </row>
    <row r="338" spans="16:20" x14ac:dyDescent="0.3">
      <c r="P338" t="s">
        <v>648</v>
      </c>
      <c r="Q338" t="s">
        <v>75</v>
      </c>
      <c r="R338" t="s">
        <v>46</v>
      </c>
      <c r="S338" t="s">
        <v>42</v>
      </c>
      <c r="T338" s="5">
        <v>7112</v>
      </c>
    </row>
    <row r="339" spans="16:20" x14ac:dyDescent="0.3">
      <c r="P339" t="s">
        <v>649</v>
      </c>
      <c r="Q339" t="s">
        <v>68</v>
      </c>
      <c r="R339" t="s">
        <v>16</v>
      </c>
      <c r="S339" t="s">
        <v>17</v>
      </c>
      <c r="T339" s="5">
        <v>11384</v>
      </c>
    </row>
    <row r="340" spans="16:20" x14ac:dyDescent="0.3">
      <c r="P340" t="s">
        <v>650</v>
      </c>
      <c r="Q340" t="s">
        <v>15</v>
      </c>
      <c r="R340" t="s">
        <v>46</v>
      </c>
      <c r="S340" t="s">
        <v>42</v>
      </c>
      <c r="T340" s="5">
        <v>6940</v>
      </c>
    </row>
    <row r="341" spans="16:20" x14ac:dyDescent="0.3">
      <c r="P341" t="s">
        <v>651</v>
      </c>
      <c r="Q341" t="s">
        <v>58</v>
      </c>
      <c r="R341" t="s">
        <v>90</v>
      </c>
      <c r="S341" t="s">
        <v>42</v>
      </c>
      <c r="T341" s="5">
        <v>25585</v>
      </c>
    </row>
    <row r="342" spans="16:20" x14ac:dyDescent="0.3">
      <c r="P342" t="s">
        <v>653</v>
      </c>
      <c r="Q342" t="s">
        <v>112</v>
      </c>
      <c r="R342" t="s">
        <v>159</v>
      </c>
      <c r="S342" t="s">
        <v>42</v>
      </c>
      <c r="T342" s="5">
        <v>22624</v>
      </c>
    </row>
    <row r="343" spans="16:20" x14ac:dyDescent="0.3">
      <c r="P343" t="s">
        <v>654</v>
      </c>
      <c r="Q343" t="s">
        <v>78</v>
      </c>
      <c r="R343" t="s">
        <v>41</v>
      </c>
      <c r="S343" t="s">
        <v>42</v>
      </c>
      <c r="T343" s="5">
        <v>33808</v>
      </c>
    </row>
    <row r="344" spans="16:20" x14ac:dyDescent="0.3">
      <c r="P344" t="s">
        <v>655</v>
      </c>
      <c r="Q344" t="s">
        <v>112</v>
      </c>
      <c r="R344" t="s">
        <v>69</v>
      </c>
      <c r="S344" t="s">
        <v>26</v>
      </c>
      <c r="T344" s="5">
        <v>20432</v>
      </c>
    </row>
    <row r="345" spans="16:20" x14ac:dyDescent="0.3">
      <c r="P345" t="s">
        <v>657</v>
      </c>
      <c r="Q345" t="s">
        <v>103</v>
      </c>
      <c r="R345" t="s">
        <v>59</v>
      </c>
      <c r="S345" t="s">
        <v>26</v>
      </c>
      <c r="T345" s="5">
        <v>10432</v>
      </c>
    </row>
    <row r="346" spans="16:20" x14ac:dyDescent="0.3">
      <c r="P346" t="s">
        <v>658</v>
      </c>
      <c r="Q346" t="s">
        <v>15</v>
      </c>
      <c r="R346" t="s">
        <v>113</v>
      </c>
      <c r="S346" t="s">
        <v>35</v>
      </c>
      <c r="T346" s="5">
        <v>26871</v>
      </c>
    </row>
    <row r="347" spans="16:20" x14ac:dyDescent="0.3">
      <c r="P347" t="s">
        <v>659</v>
      </c>
      <c r="Q347" t="s">
        <v>170</v>
      </c>
      <c r="R347" t="s">
        <v>116</v>
      </c>
      <c r="S347" t="s">
        <v>17</v>
      </c>
      <c r="T347" s="5">
        <v>6960</v>
      </c>
    </row>
    <row r="348" spans="16:20" x14ac:dyDescent="0.3">
      <c r="P348" t="s">
        <v>661</v>
      </c>
      <c r="Q348" t="s">
        <v>50</v>
      </c>
      <c r="R348" t="s">
        <v>97</v>
      </c>
      <c r="S348" t="s">
        <v>35</v>
      </c>
      <c r="T348" s="5">
        <v>282224</v>
      </c>
    </row>
    <row r="349" spans="16:20" x14ac:dyDescent="0.3">
      <c r="P349" t="s">
        <v>662</v>
      </c>
      <c r="Q349" t="s">
        <v>78</v>
      </c>
      <c r="R349" t="s">
        <v>51</v>
      </c>
      <c r="S349" t="s">
        <v>52</v>
      </c>
      <c r="T349" s="5">
        <v>7372</v>
      </c>
    </row>
    <row r="350" spans="16:20" x14ac:dyDescent="0.3">
      <c r="P350" t="s">
        <v>664</v>
      </c>
      <c r="Q350" t="s">
        <v>24</v>
      </c>
      <c r="R350" t="s">
        <v>46</v>
      </c>
      <c r="S350" t="s">
        <v>42</v>
      </c>
      <c r="T350" s="5">
        <v>15798</v>
      </c>
    </row>
    <row r="351" spans="16:20" x14ac:dyDescent="0.3">
      <c r="P351" t="s">
        <v>665</v>
      </c>
      <c r="Q351" t="s">
        <v>45</v>
      </c>
      <c r="R351" t="s">
        <v>147</v>
      </c>
      <c r="S351" t="s">
        <v>52</v>
      </c>
      <c r="T351" s="5">
        <v>7072</v>
      </c>
    </row>
    <row r="352" spans="16:20" x14ac:dyDescent="0.3">
      <c r="P352" t="s">
        <v>667</v>
      </c>
      <c r="Q352" t="s">
        <v>146</v>
      </c>
      <c r="R352" t="s">
        <v>34</v>
      </c>
      <c r="S352" t="s">
        <v>35</v>
      </c>
      <c r="T352" s="5">
        <v>65994</v>
      </c>
    </row>
    <row r="353" spans="16:20" x14ac:dyDescent="0.3">
      <c r="P353" t="s">
        <v>669</v>
      </c>
      <c r="Q353" t="s">
        <v>179</v>
      </c>
      <c r="R353" t="s">
        <v>46</v>
      </c>
      <c r="S353" t="s">
        <v>42</v>
      </c>
      <c r="T353" s="5">
        <v>26395</v>
      </c>
    </row>
    <row r="354" spans="16:20" x14ac:dyDescent="0.3">
      <c r="P354" t="s">
        <v>671</v>
      </c>
      <c r="Q354" t="s">
        <v>146</v>
      </c>
      <c r="R354" t="s">
        <v>97</v>
      </c>
      <c r="S354" t="s">
        <v>35</v>
      </c>
      <c r="T354" s="5">
        <v>68457</v>
      </c>
    </row>
    <row r="355" spans="16:20" x14ac:dyDescent="0.3">
      <c r="P355" t="s">
        <v>672</v>
      </c>
      <c r="Q355" t="s">
        <v>78</v>
      </c>
      <c r="R355" t="s">
        <v>218</v>
      </c>
      <c r="S355" t="s">
        <v>17</v>
      </c>
      <c r="T355" s="5">
        <v>3824</v>
      </c>
    </row>
    <row r="356" spans="16:20" x14ac:dyDescent="0.3">
      <c r="P356" t="s">
        <v>674</v>
      </c>
      <c r="Q356" t="s">
        <v>68</v>
      </c>
      <c r="R356" t="s">
        <v>46</v>
      </c>
      <c r="S356" t="s">
        <v>42</v>
      </c>
      <c r="T356" s="5">
        <v>3526</v>
      </c>
    </row>
    <row r="357" spans="16:20" x14ac:dyDescent="0.3">
      <c r="P357" t="s">
        <v>676</v>
      </c>
      <c r="Q357" t="s">
        <v>15</v>
      </c>
      <c r="R357" t="s">
        <v>116</v>
      </c>
      <c r="S357" t="s">
        <v>17</v>
      </c>
      <c r="T357" s="5">
        <v>11008</v>
      </c>
    </row>
    <row r="358" spans="16:20" x14ac:dyDescent="0.3">
      <c r="P358" t="s">
        <v>677</v>
      </c>
      <c r="Q358" t="s">
        <v>40</v>
      </c>
      <c r="R358" t="s">
        <v>41</v>
      </c>
      <c r="S358" t="s">
        <v>42</v>
      </c>
      <c r="T358" s="5">
        <v>20139</v>
      </c>
    </row>
    <row r="359" spans="16:20" x14ac:dyDescent="0.3">
      <c r="P359" t="s">
        <v>678</v>
      </c>
      <c r="Q359" t="s">
        <v>78</v>
      </c>
      <c r="R359" t="s">
        <v>86</v>
      </c>
      <c r="S359" t="s">
        <v>17</v>
      </c>
      <c r="T359" s="5">
        <v>4816</v>
      </c>
    </row>
    <row r="360" spans="16:20" x14ac:dyDescent="0.3">
      <c r="P360" t="s">
        <v>679</v>
      </c>
      <c r="Q360" t="s">
        <v>24</v>
      </c>
      <c r="R360" t="s">
        <v>59</v>
      </c>
      <c r="S360" t="s">
        <v>26</v>
      </c>
      <c r="T360" s="5">
        <v>30040</v>
      </c>
    </row>
    <row r="361" spans="16:20" x14ac:dyDescent="0.3">
      <c r="P361" t="s">
        <v>680</v>
      </c>
      <c r="Q361" t="s">
        <v>50</v>
      </c>
      <c r="R361" t="s">
        <v>165</v>
      </c>
      <c r="S361" t="s">
        <v>35</v>
      </c>
      <c r="T361" s="5">
        <v>269370</v>
      </c>
    </row>
    <row r="362" spans="16:20" x14ac:dyDescent="0.3">
      <c r="P362" t="s">
        <v>682</v>
      </c>
      <c r="Q362" t="s">
        <v>15</v>
      </c>
      <c r="R362" t="s">
        <v>90</v>
      </c>
      <c r="S362" t="s">
        <v>42</v>
      </c>
      <c r="T362" s="5">
        <v>5580</v>
      </c>
    </row>
    <row r="363" spans="16:20" x14ac:dyDescent="0.3">
      <c r="P363" t="s">
        <v>683</v>
      </c>
      <c r="Q363" t="s">
        <v>146</v>
      </c>
      <c r="R363" t="s">
        <v>113</v>
      </c>
      <c r="S363" t="s">
        <v>35</v>
      </c>
      <c r="T363" s="5">
        <v>377090</v>
      </c>
    </row>
    <row r="364" spans="16:20" x14ac:dyDescent="0.3">
      <c r="P364" t="s">
        <v>684</v>
      </c>
      <c r="Q364" t="s">
        <v>75</v>
      </c>
      <c r="R364" t="s">
        <v>130</v>
      </c>
      <c r="S364" t="s">
        <v>35</v>
      </c>
      <c r="T364" s="5">
        <v>167444</v>
      </c>
    </row>
    <row r="365" spans="16:20" x14ac:dyDescent="0.3">
      <c r="P365" t="s">
        <v>685</v>
      </c>
      <c r="Q365" t="s">
        <v>170</v>
      </c>
      <c r="R365" t="s">
        <v>51</v>
      </c>
      <c r="S365" t="s">
        <v>52</v>
      </c>
      <c r="T365" s="5">
        <v>2960</v>
      </c>
    </row>
    <row r="366" spans="16:20" x14ac:dyDescent="0.3">
      <c r="P366" t="s">
        <v>686</v>
      </c>
      <c r="Q366" t="s">
        <v>170</v>
      </c>
      <c r="R366" t="s">
        <v>86</v>
      </c>
      <c r="S366" t="s">
        <v>17</v>
      </c>
      <c r="T366" s="5">
        <v>1598</v>
      </c>
    </row>
    <row r="367" spans="16:20" x14ac:dyDescent="0.3">
      <c r="P367" t="s">
        <v>688</v>
      </c>
      <c r="Q367" t="s">
        <v>125</v>
      </c>
      <c r="R367" t="s">
        <v>116</v>
      </c>
      <c r="S367" t="s">
        <v>17</v>
      </c>
      <c r="T367" s="5">
        <v>1508</v>
      </c>
    </row>
    <row r="368" spans="16:20" x14ac:dyDescent="0.3">
      <c r="P368" t="s">
        <v>689</v>
      </c>
      <c r="Q368" t="s">
        <v>58</v>
      </c>
      <c r="R368" t="s">
        <v>113</v>
      </c>
      <c r="S368" t="s">
        <v>35</v>
      </c>
      <c r="T368" s="5">
        <v>141239</v>
      </c>
    </row>
    <row r="369" spans="16:20" x14ac:dyDescent="0.3">
      <c r="P369" t="s">
        <v>691</v>
      </c>
      <c r="Q369" t="s">
        <v>170</v>
      </c>
      <c r="R369" t="s">
        <v>218</v>
      </c>
      <c r="S369" t="s">
        <v>17</v>
      </c>
      <c r="T369" s="5">
        <v>10212</v>
      </c>
    </row>
    <row r="370" spans="16:20" x14ac:dyDescent="0.3">
      <c r="P370" t="s">
        <v>693</v>
      </c>
      <c r="Q370" t="s">
        <v>72</v>
      </c>
      <c r="R370" t="s">
        <v>109</v>
      </c>
      <c r="S370" t="s">
        <v>52</v>
      </c>
      <c r="T370" s="5">
        <v>6776</v>
      </c>
    </row>
    <row r="371" spans="16:20" x14ac:dyDescent="0.3">
      <c r="P371" t="s">
        <v>694</v>
      </c>
      <c r="Q371" t="s">
        <v>170</v>
      </c>
      <c r="R371" t="s">
        <v>86</v>
      </c>
      <c r="S371" t="s">
        <v>17</v>
      </c>
      <c r="T371" s="5">
        <v>2667</v>
      </c>
    </row>
    <row r="372" spans="16:20" x14ac:dyDescent="0.3">
      <c r="P372" t="s">
        <v>695</v>
      </c>
      <c r="Q372" t="s">
        <v>103</v>
      </c>
      <c r="R372" t="s">
        <v>59</v>
      </c>
      <c r="S372" t="s">
        <v>26</v>
      </c>
      <c r="T372" s="5">
        <v>82808</v>
      </c>
    </row>
    <row r="373" spans="16:20" x14ac:dyDescent="0.3">
      <c r="P373" t="s">
        <v>696</v>
      </c>
      <c r="Q373" t="s">
        <v>68</v>
      </c>
      <c r="R373" t="s">
        <v>109</v>
      </c>
      <c r="S373" t="s">
        <v>52</v>
      </c>
      <c r="T373" s="5">
        <v>2272</v>
      </c>
    </row>
    <row r="374" spans="16:20" x14ac:dyDescent="0.3">
      <c r="P374" t="s">
        <v>698</v>
      </c>
      <c r="Q374" t="s">
        <v>78</v>
      </c>
      <c r="R374" t="s">
        <v>51</v>
      </c>
      <c r="S374" t="s">
        <v>52</v>
      </c>
      <c r="T374" s="5">
        <v>4470</v>
      </c>
    </row>
    <row r="375" spans="16:20" x14ac:dyDescent="0.3">
      <c r="P375" t="s">
        <v>699</v>
      </c>
      <c r="Q375" t="s">
        <v>122</v>
      </c>
      <c r="R375" t="s">
        <v>109</v>
      </c>
      <c r="S375" t="s">
        <v>52</v>
      </c>
      <c r="T375" s="5">
        <v>7144</v>
      </c>
    </row>
    <row r="376" spans="16:20" x14ac:dyDescent="0.3">
      <c r="P376" t="s">
        <v>700</v>
      </c>
      <c r="Q376" t="s">
        <v>112</v>
      </c>
      <c r="R376" t="s">
        <v>97</v>
      </c>
      <c r="S376" t="s">
        <v>35</v>
      </c>
      <c r="T376" s="5">
        <v>236490</v>
      </c>
    </row>
    <row r="377" spans="16:20" x14ac:dyDescent="0.3">
      <c r="P377" t="s">
        <v>701</v>
      </c>
      <c r="Q377" t="s">
        <v>58</v>
      </c>
      <c r="R377" t="s">
        <v>63</v>
      </c>
      <c r="S377" t="s">
        <v>52</v>
      </c>
      <c r="T377" s="5">
        <v>7990</v>
      </c>
    </row>
    <row r="378" spans="16:20" x14ac:dyDescent="0.3">
      <c r="P378" t="s">
        <v>703</v>
      </c>
      <c r="Q378" t="s">
        <v>24</v>
      </c>
      <c r="R378" t="s">
        <v>165</v>
      </c>
      <c r="S378" t="s">
        <v>35</v>
      </c>
      <c r="T378" s="5">
        <v>308798</v>
      </c>
    </row>
    <row r="379" spans="16:20" x14ac:dyDescent="0.3">
      <c r="P379" t="s">
        <v>704</v>
      </c>
      <c r="Q379" t="s">
        <v>45</v>
      </c>
      <c r="R379" t="s">
        <v>97</v>
      </c>
      <c r="S379" t="s">
        <v>35</v>
      </c>
      <c r="T379" s="5">
        <v>112085</v>
      </c>
    </row>
    <row r="380" spans="16:20" x14ac:dyDescent="0.3">
      <c r="P380" t="s">
        <v>706</v>
      </c>
      <c r="Q380" t="s">
        <v>129</v>
      </c>
      <c r="R380" t="s">
        <v>79</v>
      </c>
      <c r="S380" t="s">
        <v>26</v>
      </c>
      <c r="T380" s="5">
        <v>9030</v>
      </c>
    </row>
    <row r="381" spans="16:20" x14ac:dyDescent="0.3">
      <c r="P381" t="s">
        <v>707</v>
      </c>
      <c r="Q381" t="s">
        <v>179</v>
      </c>
      <c r="R381" t="s">
        <v>159</v>
      </c>
      <c r="S381" t="s">
        <v>42</v>
      </c>
      <c r="T381" s="5">
        <v>3288</v>
      </c>
    </row>
    <row r="382" spans="16:20" x14ac:dyDescent="0.3">
      <c r="P382" t="s">
        <v>709</v>
      </c>
      <c r="Q382" t="s">
        <v>170</v>
      </c>
      <c r="R382" t="s">
        <v>90</v>
      </c>
      <c r="S382" t="s">
        <v>42</v>
      </c>
      <c r="T382" s="5">
        <v>24096</v>
      </c>
    </row>
    <row r="383" spans="16:20" x14ac:dyDescent="0.3">
      <c r="P383" t="s">
        <v>710</v>
      </c>
      <c r="Q383" t="s">
        <v>179</v>
      </c>
      <c r="R383" t="s">
        <v>90</v>
      </c>
      <c r="S383" t="s">
        <v>42</v>
      </c>
      <c r="T383" s="5">
        <v>4084</v>
      </c>
    </row>
    <row r="384" spans="16:20" x14ac:dyDescent="0.3">
      <c r="P384" t="s">
        <v>711</v>
      </c>
      <c r="Q384" t="s">
        <v>146</v>
      </c>
      <c r="R384" t="s">
        <v>130</v>
      </c>
      <c r="S384" t="s">
        <v>35</v>
      </c>
      <c r="T384" s="5">
        <v>248592</v>
      </c>
    </row>
    <row r="385" spans="16:20" x14ac:dyDescent="0.3">
      <c r="P385" t="s">
        <v>712</v>
      </c>
      <c r="Q385" t="s">
        <v>146</v>
      </c>
      <c r="R385" t="s">
        <v>79</v>
      </c>
      <c r="S385" t="s">
        <v>26</v>
      </c>
      <c r="T385" s="5">
        <v>57631</v>
      </c>
    </row>
    <row r="386" spans="16:20" x14ac:dyDescent="0.3">
      <c r="P386" t="s">
        <v>714</v>
      </c>
      <c r="Q386" t="s">
        <v>50</v>
      </c>
      <c r="R386" t="s">
        <v>147</v>
      </c>
      <c r="S386" t="s">
        <v>52</v>
      </c>
      <c r="T386" s="5">
        <v>4180</v>
      </c>
    </row>
    <row r="387" spans="16:20" x14ac:dyDescent="0.3">
      <c r="P387" t="s">
        <v>715</v>
      </c>
      <c r="Q387" t="s">
        <v>40</v>
      </c>
      <c r="R387" t="s">
        <v>109</v>
      </c>
      <c r="S387" t="s">
        <v>52</v>
      </c>
      <c r="T387" s="5">
        <v>2526</v>
      </c>
    </row>
    <row r="388" spans="16:20" x14ac:dyDescent="0.3">
      <c r="P388" t="s">
        <v>717</v>
      </c>
      <c r="Q388" t="s">
        <v>122</v>
      </c>
      <c r="R388" t="s">
        <v>63</v>
      </c>
      <c r="S388" t="s">
        <v>52</v>
      </c>
      <c r="T388" s="5">
        <v>10640</v>
      </c>
    </row>
    <row r="389" spans="16:20" x14ac:dyDescent="0.3">
      <c r="P389" t="s">
        <v>718</v>
      </c>
      <c r="Q389" t="s">
        <v>33</v>
      </c>
      <c r="R389" t="s">
        <v>90</v>
      </c>
      <c r="S389" t="s">
        <v>42</v>
      </c>
      <c r="T389" s="5">
        <v>5777</v>
      </c>
    </row>
    <row r="390" spans="16:20" x14ac:dyDescent="0.3">
      <c r="P390" t="s">
        <v>719</v>
      </c>
      <c r="Q390" t="s">
        <v>24</v>
      </c>
      <c r="R390" t="s">
        <v>113</v>
      </c>
      <c r="S390" t="s">
        <v>35</v>
      </c>
      <c r="T390" s="5">
        <v>45899</v>
      </c>
    </row>
    <row r="391" spans="16:20" x14ac:dyDescent="0.3">
      <c r="P391" t="s">
        <v>720</v>
      </c>
      <c r="Q391" t="s">
        <v>40</v>
      </c>
      <c r="R391" t="s">
        <v>46</v>
      </c>
      <c r="S391" t="s">
        <v>42</v>
      </c>
      <c r="T391" s="5">
        <v>7608</v>
      </c>
    </row>
    <row r="392" spans="16:20" x14ac:dyDescent="0.3">
      <c r="P392" t="s">
        <v>721</v>
      </c>
      <c r="Q392" t="s">
        <v>125</v>
      </c>
      <c r="R392" t="s">
        <v>130</v>
      </c>
      <c r="S392" t="s">
        <v>35</v>
      </c>
      <c r="T392" s="5">
        <v>209300</v>
      </c>
    </row>
    <row r="393" spans="16:20" x14ac:dyDescent="0.3">
      <c r="P393" t="s">
        <v>723</v>
      </c>
      <c r="Q393" t="s">
        <v>45</v>
      </c>
      <c r="R393" t="s">
        <v>59</v>
      </c>
      <c r="S393" t="s">
        <v>26</v>
      </c>
      <c r="T393" s="5">
        <v>53724</v>
      </c>
    </row>
    <row r="394" spans="16:20" x14ac:dyDescent="0.3">
      <c r="P394" t="s">
        <v>724</v>
      </c>
      <c r="Q394" t="s">
        <v>129</v>
      </c>
      <c r="R394" t="s">
        <v>16</v>
      </c>
      <c r="S394" t="s">
        <v>17</v>
      </c>
      <c r="T394" s="5">
        <v>12640</v>
      </c>
    </row>
    <row r="395" spans="16:20" x14ac:dyDescent="0.3">
      <c r="P395" t="s">
        <v>725</v>
      </c>
      <c r="Q395" t="s">
        <v>170</v>
      </c>
      <c r="R395" t="s">
        <v>109</v>
      </c>
      <c r="S395" t="s">
        <v>52</v>
      </c>
      <c r="T395" s="5">
        <v>2958</v>
      </c>
    </row>
    <row r="396" spans="16:20" x14ac:dyDescent="0.3">
      <c r="P396" t="s">
        <v>726</v>
      </c>
      <c r="Q396" t="s">
        <v>146</v>
      </c>
      <c r="R396" t="s">
        <v>63</v>
      </c>
      <c r="S396" t="s">
        <v>52</v>
      </c>
      <c r="T396" s="5">
        <v>13272</v>
      </c>
    </row>
    <row r="397" spans="16:20" x14ac:dyDescent="0.3">
      <c r="P397" t="s">
        <v>728</v>
      </c>
      <c r="Q397" t="s">
        <v>129</v>
      </c>
      <c r="R397" t="s">
        <v>41</v>
      </c>
      <c r="S397" t="s">
        <v>42</v>
      </c>
      <c r="T397" s="5">
        <v>25445</v>
      </c>
    </row>
    <row r="398" spans="16:20" x14ac:dyDescent="0.3">
      <c r="P398" t="s">
        <v>730</v>
      </c>
      <c r="Q398" t="s">
        <v>170</v>
      </c>
      <c r="R398" t="s">
        <v>218</v>
      </c>
      <c r="S398" t="s">
        <v>17</v>
      </c>
      <c r="T398" s="5">
        <v>4407</v>
      </c>
    </row>
    <row r="399" spans="16:20" x14ac:dyDescent="0.3">
      <c r="P399" t="s">
        <v>732</v>
      </c>
      <c r="Q399" t="s">
        <v>129</v>
      </c>
      <c r="R399" t="s">
        <v>41</v>
      </c>
      <c r="S399" t="s">
        <v>42</v>
      </c>
      <c r="T399" s="5">
        <v>9880</v>
      </c>
    </row>
    <row r="400" spans="16:20" x14ac:dyDescent="0.3">
      <c r="P400" t="s">
        <v>733</v>
      </c>
      <c r="Q400" t="s">
        <v>68</v>
      </c>
      <c r="R400" t="s">
        <v>41</v>
      </c>
      <c r="S400" t="s">
        <v>42</v>
      </c>
      <c r="T400" s="5">
        <v>14967</v>
      </c>
    </row>
    <row r="401" spans="16:20" x14ac:dyDescent="0.3">
      <c r="P401" t="s">
        <v>735</v>
      </c>
      <c r="Q401" t="s">
        <v>68</v>
      </c>
      <c r="R401" t="s">
        <v>116</v>
      </c>
      <c r="S401" t="s">
        <v>17</v>
      </c>
      <c r="T401" s="5">
        <v>616</v>
      </c>
    </row>
    <row r="402" spans="16:20" x14ac:dyDescent="0.3">
      <c r="P402" t="s">
        <v>736</v>
      </c>
      <c r="Q402" t="s">
        <v>68</v>
      </c>
      <c r="R402" t="s">
        <v>59</v>
      </c>
      <c r="S402" t="s">
        <v>26</v>
      </c>
      <c r="T402" s="5">
        <v>21328</v>
      </c>
    </row>
    <row r="403" spans="16:20" x14ac:dyDescent="0.3">
      <c r="P403" t="s">
        <v>738</v>
      </c>
      <c r="Q403" t="s">
        <v>58</v>
      </c>
      <c r="R403" t="s">
        <v>113</v>
      </c>
      <c r="S403" t="s">
        <v>35</v>
      </c>
      <c r="T403" s="5">
        <v>96832</v>
      </c>
    </row>
    <row r="404" spans="16:20" x14ac:dyDescent="0.3">
      <c r="P404" t="s">
        <v>740</v>
      </c>
      <c r="Q404" t="s">
        <v>33</v>
      </c>
      <c r="R404" t="s">
        <v>165</v>
      </c>
      <c r="S404" t="s">
        <v>35</v>
      </c>
      <c r="T404" s="5">
        <v>50400</v>
      </c>
    </row>
    <row r="405" spans="16:20" x14ac:dyDescent="0.3">
      <c r="P405" t="s">
        <v>741</v>
      </c>
      <c r="Q405" t="s">
        <v>58</v>
      </c>
      <c r="R405" t="s">
        <v>51</v>
      </c>
      <c r="S405" t="s">
        <v>52</v>
      </c>
      <c r="T405" s="5">
        <v>9666</v>
      </c>
    </row>
    <row r="406" spans="16:20" x14ac:dyDescent="0.3">
      <c r="P406" t="s">
        <v>742</v>
      </c>
      <c r="Q406" t="s">
        <v>50</v>
      </c>
      <c r="R406" t="s">
        <v>116</v>
      </c>
      <c r="S406" t="s">
        <v>17</v>
      </c>
      <c r="T406" s="5">
        <v>10104</v>
      </c>
    </row>
    <row r="407" spans="16:20" x14ac:dyDescent="0.3">
      <c r="P407" t="s">
        <v>744</v>
      </c>
      <c r="Q407" t="s">
        <v>129</v>
      </c>
      <c r="R407" t="s">
        <v>90</v>
      </c>
      <c r="S407" t="s">
        <v>42</v>
      </c>
      <c r="T407" s="5">
        <v>9242</v>
      </c>
    </row>
    <row r="408" spans="16:20" x14ac:dyDescent="0.3">
      <c r="P408" t="s">
        <v>745</v>
      </c>
      <c r="Q408" t="s">
        <v>78</v>
      </c>
      <c r="R408" t="s">
        <v>41</v>
      </c>
      <c r="S408" t="s">
        <v>42</v>
      </c>
      <c r="T408" s="5">
        <v>7966</v>
      </c>
    </row>
    <row r="409" spans="16:20" x14ac:dyDescent="0.3">
      <c r="P409" t="s">
        <v>746</v>
      </c>
      <c r="Q409" t="s">
        <v>58</v>
      </c>
      <c r="R409" t="s">
        <v>218</v>
      </c>
      <c r="S409" t="s">
        <v>17</v>
      </c>
      <c r="T409" s="5">
        <v>8337</v>
      </c>
    </row>
    <row r="410" spans="16:20" x14ac:dyDescent="0.3">
      <c r="P410" t="s">
        <v>747</v>
      </c>
      <c r="Q410" t="s">
        <v>170</v>
      </c>
      <c r="R410" t="s">
        <v>165</v>
      </c>
      <c r="S410" t="s">
        <v>35</v>
      </c>
      <c r="T410" s="5">
        <v>445504</v>
      </c>
    </row>
    <row r="411" spans="16:20" x14ac:dyDescent="0.3">
      <c r="P411" t="s">
        <v>748</v>
      </c>
      <c r="Q411" t="s">
        <v>179</v>
      </c>
      <c r="R411" t="s">
        <v>63</v>
      </c>
      <c r="S411" t="s">
        <v>52</v>
      </c>
      <c r="T411" s="5">
        <v>861</v>
      </c>
    </row>
    <row r="412" spans="16:20" x14ac:dyDescent="0.3">
      <c r="P412" t="s">
        <v>749</v>
      </c>
      <c r="Q412" t="s">
        <v>33</v>
      </c>
      <c r="R412" t="s">
        <v>59</v>
      </c>
      <c r="S412" t="s">
        <v>26</v>
      </c>
      <c r="T412" s="5">
        <v>44532</v>
      </c>
    </row>
    <row r="413" spans="16:20" x14ac:dyDescent="0.3">
      <c r="P413" t="s">
        <v>750</v>
      </c>
      <c r="Q413" t="s">
        <v>50</v>
      </c>
      <c r="R413" t="s">
        <v>59</v>
      </c>
      <c r="S413" t="s">
        <v>26</v>
      </c>
      <c r="T413" s="5">
        <v>36295</v>
      </c>
    </row>
    <row r="414" spans="16:20" x14ac:dyDescent="0.3">
      <c r="P414" t="s">
        <v>751</v>
      </c>
      <c r="Q414" t="s">
        <v>72</v>
      </c>
      <c r="R414" t="s">
        <v>51</v>
      </c>
      <c r="S414" t="s">
        <v>52</v>
      </c>
      <c r="T414" s="5">
        <v>7300</v>
      </c>
    </row>
    <row r="415" spans="16:20" x14ac:dyDescent="0.3">
      <c r="P415" t="s">
        <v>753</v>
      </c>
      <c r="Q415" t="s">
        <v>45</v>
      </c>
      <c r="R415" t="s">
        <v>51</v>
      </c>
      <c r="S415" t="s">
        <v>52</v>
      </c>
      <c r="T415" s="5">
        <v>4172</v>
      </c>
    </row>
    <row r="416" spans="16:20" x14ac:dyDescent="0.3">
      <c r="P416" t="s">
        <v>754</v>
      </c>
      <c r="Q416" t="s">
        <v>112</v>
      </c>
      <c r="R416" t="s">
        <v>69</v>
      </c>
      <c r="S416" t="s">
        <v>26</v>
      </c>
      <c r="T416" s="5">
        <v>5526</v>
      </c>
    </row>
    <row r="417" spans="16:20" x14ac:dyDescent="0.3">
      <c r="P417" t="s">
        <v>755</v>
      </c>
      <c r="Q417" t="s">
        <v>72</v>
      </c>
      <c r="R417" t="s">
        <v>16</v>
      </c>
      <c r="S417" t="s">
        <v>17</v>
      </c>
      <c r="T417" s="5">
        <v>13944</v>
      </c>
    </row>
    <row r="418" spans="16:20" x14ac:dyDescent="0.3">
      <c r="P418" t="s">
        <v>757</v>
      </c>
      <c r="Q418" t="s">
        <v>45</v>
      </c>
      <c r="R418" t="s">
        <v>25</v>
      </c>
      <c r="S418" t="s">
        <v>26</v>
      </c>
      <c r="T418" s="5">
        <v>19268</v>
      </c>
    </row>
    <row r="419" spans="16:20" x14ac:dyDescent="0.3">
      <c r="P419" t="s">
        <v>758</v>
      </c>
      <c r="Q419" t="s">
        <v>45</v>
      </c>
      <c r="R419" t="s">
        <v>90</v>
      </c>
      <c r="S419" t="s">
        <v>42</v>
      </c>
      <c r="T419" s="5">
        <v>28728</v>
      </c>
    </row>
    <row r="420" spans="16:20" x14ac:dyDescent="0.3">
      <c r="P420" t="s">
        <v>759</v>
      </c>
      <c r="Q420" t="s">
        <v>72</v>
      </c>
      <c r="R420" t="s">
        <v>116</v>
      </c>
      <c r="S420" t="s">
        <v>17</v>
      </c>
      <c r="T420" s="5">
        <v>4419</v>
      </c>
    </row>
    <row r="421" spans="16:20" x14ac:dyDescent="0.3">
      <c r="P421" t="s">
        <v>761</v>
      </c>
      <c r="Q421" t="s">
        <v>146</v>
      </c>
      <c r="R421" t="s">
        <v>34</v>
      </c>
      <c r="S421" t="s">
        <v>35</v>
      </c>
      <c r="T421" s="5">
        <v>21805</v>
      </c>
    </row>
    <row r="422" spans="16:20" x14ac:dyDescent="0.3">
      <c r="P422" t="s">
        <v>762</v>
      </c>
      <c r="Q422" t="s">
        <v>50</v>
      </c>
      <c r="R422" t="s">
        <v>51</v>
      </c>
      <c r="S422" t="s">
        <v>52</v>
      </c>
      <c r="T422" s="5">
        <v>595</v>
      </c>
    </row>
    <row r="423" spans="16:20" x14ac:dyDescent="0.3">
      <c r="P423" t="s">
        <v>764</v>
      </c>
      <c r="Q423" t="s">
        <v>78</v>
      </c>
      <c r="R423" t="s">
        <v>109</v>
      </c>
      <c r="S423" t="s">
        <v>52</v>
      </c>
      <c r="T423" s="5">
        <v>2325</v>
      </c>
    </row>
    <row r="424" spans="16:20" x14ac:dyDescent="0.3">
      <c r="P424" t="s">
        <v>765</v>
      </c>
      <c r="Q424" t="s">
        <v>68</v>
      </c>
      <c r="R424" t="s">
        <v>46</v>
      </c>
      <c r="S424" t="s">
        <v>42</v>
      </c>
      <c r="T424" s="5">
        <v>26803</v>
      </c>
    </row>
    <row r="425" spans="16:20" x14ac:dyDescent="0.3">
      <c r="P425" t="s">
        <v>766</v>
      </c>
      <c r="Q425" t="s">
        <v>58</v>
      </c>
      <c r="R425" t="s">
        <v>59</v>
      </c>
      <c r="S425" t="s">
        <v>26</v>
      </c>
      <c r="T425" s="5">
        <v>36040</v>
      </c>
    </row>
    <row r="426" spans="16:20" x14ac:dyDescent="0.3">
      <c r="P426" t="s">
        <v>767</v>
      </c>
      <c r="Q426" t="s">
        <v>129</v>
      </c>
      <c r="R426" t="s">
        <v>165</v>
      </c>
      <c r="S426" t="s">
        <v>35</v>
      </c>
      <c r="T426" s="5">
        <v>56403</v>
      </c>
    </row>
    <row r="427" spans="16:20" x14ac:dyDescent="0.3">
      <c r="P427" t="s">
        <v>768</v>
      </c>
      <c r="Q427" t="s">
        <v>75</v>
      </c>
      <c r="R427" t="s">
        <v>147</v>
      </c>
      <c r="S427" t="s">
        <v>52</v>
      </c>
      <c r="T427" s="5">
        <v>2276</v>
      </c>
    </row>
    <row r="428" spans="16:20" x14ac:dyDescent="0.3">
      <c r="P428" t="s">
        <v>769</v>
      </c>
      <c r="Q428" t="s">
        <v>133</v>
      </c>
      <c r="R428" t="s">
        <v>79</v>
      </c>
      <c r="S428" t="s">
        <v>26</v>
      </c>
      <c r="T428" s="5">
        <v>33795</v>
      </c>
    </row>
    <row r="429" spans="16:20" x14ac:dyDescent="0.3">
      <c r="P429" t="s">
        <v>770</v>
      </c>
      <c r="Q429" t="s">
        <v>24</v>
      </c>
      <c r="R429" t="s">
        <v>147</v>
      </c>
      <c r="S429" t="s">
        <v>52</v>
      </c>
      <c r="T429" s="5">
        <v>1841</v>
      </c>
    </row>
    <row r="430" spans="16:20" x14ac:dyDescent="0.3">
      <c r="P430" t="s">
        <v>771</v>
      </c>
      <c r="Q430" t="s">
        <v>146</v>
      </c>
      <c r="R430" t="s">
        <v>51</v>
      </c>
      <c r="S430" t="s">
        <v>52</v>
      </c>
      <c r="T430" s="5">
        <v>6712</v>
      </c>
    </row>
    <row r="431" spans="16:20" x14ac:dyDescent="0.3">
      <c r="P431" t="s">
        <v>772</v>
      </c>
      <c r="Q431" t="s">
        <v>50</v>
      </c>
      <c r="R431" t="s">
        <v>16</v>
      </c>
      <c r="S431" t="s">
        <v>17</v>
      </c>
      <c r="T431" s="5">
        <v>6065</v>
      </c>
    </row>
    <row r="432" spans="16:20" x14ac:dyDescent="0.3">
      <c r="P432" t="s">
        <v>773</v>
      </c>
      <c r="Q432" t="s">
        <v>125</v>
      </c>
      <c r="R432" t="s">
        <v>41</v>
      </c>
      <c r="S432" t="s">
        <v>42</v>
      </c>
      <c r="T432" s="5">
        <v>10192</v>
      </c>
    </row>
    <row r="433" spans="16:20" x14ac:dyDescent="0.3">
      <c r="P433" t="s">
        <v>774</v>
      </c>
      <c r="Q433" t="s">
        <v>179</v>
      </c>
      <c r="R433" t="s">
        <v>97</v>
      </c>
      <c r="S433" t="s">
        <v>35</v>
      </c>
      <c r="T433" s="5">
        <v>94144</v>
      </c>
    </row>
    <row r="434" spans="16:20" x14ac:dyDescent="0.3">
      <c r="P434" t="s">
        <v>775</v>
      </c>
      <c r="Q434" t="s">
        <v>72</v>
      </c>
      <c r="R434" t="s">
        <v>109</v>
      </c>
      <c r="S434" t="s">
        <v>52</v>
      </c>
      <c r="T434" s="5">
        <v>12047</v>
      </c>
    </row>
    <row r="435" spans="16:20" x14ac:dyDescent="0.3">
      <c r="P435" t="s">
        <v>776</v>
      </c>
      <c r="Q435" t="s">
        <v>15</v>
      </c>
      <c r="R435" t="s">
        <v>79</v>
      </c>
      <c r="S435" t="s">
        <v>26</v>
      </c>
      <c r="T435" s="5">
        <v>66836</v>
      </c>
    </row>
    <row r="436" spans="16:20" x14ac:dyDescent="0.3">
      <c r="P436" t="s">
        <v>777</v>
      </c>
      <c r="Q436" t="s">
        <v>75</v>
      </c>
      <c r="R436" t="s">
        <v>113</v>
      </c>
      <c r="S436" t="s">
        <v>35</v>
      </c>
      <c r="T436" s="5">
        <v>125158</v>
      </c>
    </row>
    <row r="437" spans="16:20" x14ac:dyDescent="0.3">
      <c r="P437" t="s">
        <v>778</v>
      </c>
      <c r="Q437" t="s">
        <v>68</v>
      </c>
      <c r="R437" t="s">
        <v>116</v>
      </c>
      <c r="S437" t="s">
        <v>17</v>
      </c>
      <c r="T437" s="5">
        <v>797</v>
      </c>
    </row>
    <row r="438" spans="16:20" x14ac:dyDescent="0.3">
      <c r="P438" t="s">
        <v>779</v>
      </c>
      <c r="Q438" t="s">
        <v>58</v>
      </c>
      <c r="R438" t="s">
        <v>16</v>
      </c>
      <c r="S438" t="s">
        <v>17</v>
      </c>
      <c r="T438" s="5">
        <v>1716</v>
      </c>
    </row>
    <row r="439" spans="16:20" x14ac:dyDescent="0.3">
      <c r="P439" t="s">
        <v>780</v>
      </c>
      <c r="Q439" t="s">
        <v>129</v>
      </c>
      <c r="R439" t="s">
        <v>147</v>
      </c>
      <c r="S439" t="s">
        <v>52</v>
      </c>
      <c r="T439" s="5">
        <v>1524</v>
      </c>
    </row>
    <row r="440" spans="16:20" x14ac:dyDescent="0.3">
      <c r="P440" t="s">
        <v>781</v>
      </c>
      <c r="Q440" t="s">
        <v>24</v>
      </c>
      <c r="R440" t="s">
        <v>147</v>
      </c>
      <c r="S440" t="s">
        <v>52</v>
      </c>
      <c r="T440" s="5">
        <v>3580</v>
      </c>
    </row>
    <row r="441" spans="16:20" x14ac:dyDescent="0.3">
      <c r="P441" t="s">
        <v>782</v>
      </c>
      <c r="Q441" t="s">
        <v>45</v>
      </c>
      <c r="R441" t="s">
        <v>159</v>
      </c>
      <c r="S441" t="s">
        <v>42</v>
      </c>
      <c r="T441" s="5">
        <v>13167</v>
      </c>
    </row>
    <row r="442" spans="16:20" x14ac:dyDescent="0.3">
      <c r="P442" t="s">
        <v>783</v>
      </c>
      <c r="Q442" t="s">
        <v>45</v>
      </c>
      <c r="R442" t="s">
        <v>41</v>
      </c>
      <c r="S442" t="s">
        <v>42</v>
      </c>
      <c r="T442" s="5">
        <v>26340</v>
      </c>
    </row>
    <row r="443" spans="16:20" x14ac:dyDescent="0.3">
      <c r="P443" t="s">
        <v>785</v>
      </c>
      <c r="Q443" t="s">
        <v>33</v>
      </c>
      <c r="R443" t="s">
        <v>109</v>
      </c>
      <c r="S443" t="s">
        <v>52</v>
      </c>
      <c r="T443" s="5">
        <v>3444</v>
      </c>
    </row>
    <row r="444" spans="16:20" x14ac:dyDescent="0.3">
      <c r="P444" t="s">
        <v>786</v>
      </c>
      <c r="Q444" t="s">
        <v>24</v>
      </c>
      <c r="R444" t="s">
        <v>51</v>
      </c>
      <c r="S444" t="s">
        <v>52</v>
      </c>
      <c r="T444" s="5">
        <v>12636</v>
      </c>
    </row>
    <row r="445" spans="16:20" x14ac:dyDescent="0.3">
      <c r="P445" t="s">
        <v>787</v>
      </c>
      <c r="Q445" t="s">
        <v>122</v>
      </c>
      <c r="R445" t="s">
        <v>86</v>
      </c>
      <c r="S445" t="s">
        <v>17</v>
      </c>
      <c r="T445" s="5">
        <v>6948</v>
      </c>
    </row>
    <row r="446" spans="16:20" x14ac:dyDescent="0.3">
      <c r="P446" t="s">
        <v>788</v>
      </c>
      <c r="Q446" t="s">
        <v>24</v>
      </c>
      <c r="R446" t="s">
        <v>159</v>
      </c>
      <c r="S446" t="s">
        <v>42</v>
      </c>
      <c r="T446" s="5">
        <v>34160</v>
      </c>
    </row>
    <row r="447" spans="16:20" x14ac:dyDescent="0.3">
      <c r="P447" t="s">
        <v>789</v>
      </c>
      <c r="Q447" t="s">
        <v>103</v>
      </c>
      <c r="R447" t="s">
        <v>159</v>
      </c>
      <c r="S447" t="s">
        <v>42</v>
      </c>
      <c r="T447" s="5">
        <v>10452</v>
      </c>
    </row>
    <row r="448" spans="16:20" x14ac:dyDescent="0.3">
      <c r="P448" t="s">
        <v>791</v>
      </c>
      <c r="Q448" t="s">
        <v>58</v>
      </c>
      <c r="R448" t="s">
        <v>90</v>
      </c>
      <c r="S448" t="s">
        <v>42</v>
      </c>
      <c r="T448" s="5">
        <v>11904</v>
      </c>
    </row>
    <row r="449" spans="16:20" x14ac:dyDescent="0.3">
      <c r="P449" t="s">
        <v>792</v>
      </c>
      <c r="Q449" t="s">
        <v>58</v>
      </c>
      <c r="R449" t="s">
        <v>90</v>
      </c>
      <c r="S449" t="s">
        <v>42</v>
      </c>
      <c r="T449" s="5">
        <v>33656</v>
      </c>
    </row>
    <row r="450" spans="16:20" x14ac:dyDescent="0.3">
      <c r="P450" t="s">
        <v>793</v>
      </c>
      <c r="Q450" t="s">
        <v>146</v>
      </c>
      <c r="R450" t="s">
        <v>41</v>
      </c>
      <c r="S450" t="s">
        <v>42</v>
      </c>
      <c r="T450" s="5">
        <v>40400</v>
      </c>
    </row>
    <row r="451" spans="16:20" x14ac:dyDescent="0.3">
      <c r="P451" t="s">
        <v>794</v>
      </c>
      <c r="Q451" t="s">
        <v>15</v>
      </c>
      <c r="R451" t="s">
        <v>25</v>
      </c>
      <c r="S451" t="s">
        <v>26</v>
      </c>
      <c r="T451" s="5">
        <v>33012</v>
      </c>
    </row>
    <row r="452" spans="16:20" x14ac:dyDescent="0.3">
      <c r="P452" t="s">
        <v>795</v>
      </c>
      <c r="Q452" t="s">
        <v>75</v>
      </c>
      <c r="R452" t="s">
        <v>41</v>
      </c>
      <c r="S452" t="s">
        <v>42</v>
      </c>
      <c r="T452" s="5">
        <v>29872</v>
      </c>
    </row>
    <row r="453" spans="16:20" x14ac:dyDescent="0.3">
      <c r="P453" t="s">
        <v>796</v>
      </c>
      <c r="Q453" t="s">
        <v>33</v>
      </c>
      <c r="R453" t="s">
        <v>97</v>
      </c>
      <c r="S453" t="s">
        <v>35</v>
      </c>
      <c r="T453" s="5">
        <v>335296</v>
      </c>
    </row>
    <row r="454" spans="16:20" x14ac:dyDescent="0.3">
      <c r="P454" t="s">
        <v>798</v>
      </c>
      <c r="Q454" t="s">
        <v>78</v>
      </c>
      <c r="R454" t="s">
        <v>41</v>
      </c>
      <c r="S454" t="s">
        <v>42</v>
      </c>
      <c r="T454" s="5">
        <v>14262</v>
      </c>
    </row>
    <row r="455" spans="16:20" x14ac:dyDescent="0.3">
      <c r="P455" t="s">
        <v>800</v>
      </c>
      <c r="Q455" t="s">
        <v>125</v>
      </c>
      <c r="R455" t="s">
        <v>109</v>
      </c>
      <c r="S455" t="s">
        <v>52</v>
      </c>
      <c r="T455" s="5">
        <v>9910</v>
      </c>
    </row>
    <row r="456" spans="16:20" x14ac:dyDescent="0.3">
      <c r="P456" t="s">
        <v>801</v>
      </c>
      <c r="Q456" t="s">
        <v>40</v>
      </c>
      <c r="R456" t="s">
        <v>59</v>
      </c>
      <c r="S456" t="s">
        <v>26</v>
      </c>
      <c r="T456" s="5">
        <v>13380</v>
      </c>
    </row>
    <row r="457" spans="16:20" x14ac:dyDescent="0.3">
      <c r="P457" t="s">
        <v>803</v>
      </c>
      <c r="Q457" t="s">
        <v>78</v>
      </c>
      <c r="R457" t="s">
        <v>113</v>
      </c>
      <c r="S457" t="s">
        <v>35</v>
      </c>
      <c r="T457" s="5">
        <v>87816</v>
      </c>
    </row>
    <row r="458" spans="16:20" x14ac:dyDescent="0.3">
      <c r="P458" t="s">
        <v>804</v>
      </c>
      <c r="Q458" t="s">
        <v>133</v>
      </c>
      <c r="R458" t="s">
        <v>90</v>
      </c>
      <c r="S458" t="s">
        <v>42</v>
      </c>
      <c r="T458" s="5">
        <v>880</v>
      </c>
    </row>
    <row r="459" spans="16:20" x14ac:dyDescent="0.3">
      <c r="P459" t="s">
        <v>806</v>
      </c>
      <c r="Q459" t="s">
        <v>40</v>
      </c>
      <c r="R459" t="s">
        <v>90</v>
      </c>
      <c r="S459" t="s">
        <v>42</v>
      </c>
      <c r="T459" s="5">
        <v>10530</v>
      </c>
    </row>
    <row r="460" spans="16:20" x14ac:dyDescent="0.3">
      <c r="P460" t="s">
        <v>807</v>
      </c>
      <c r="Q460" t="s">
        <v>24</v>
      </c>
      <c r="R460" t="s">
        <v>97</v>
      </c>
      <c r="S460" t="s">
        <v>35</v>
      </c>
      <c r="T460" s="5">
        <v>119661</v>
      </c>
    </row>
    <row r="461" spans="16:20" x14ac:dyDescent="0.3">
      <c r="P461" t="s">
        <v>808</v>
      </c>
      <c r="Q461" t="s">
        <v>129</v>
      </c>
      <c r="R461" t="s">
        <v>165</v>
      </c>
      <c r="S461" t="s">
        <v>35</v>
      </c>
      <c r="T461" s="5">
        <v>213456</v>
      </c>
    </row>
    <row r="462" spans="16:20" x14ac:dyDescent="0.3">
      <c r="P462" t="s">
        <v>809</v>
      </c>
      <c r="Q462" t="s">
        <v>72</v>
      </c>
      <c r="R462" t="s">
        <v>79</v>
      </c>
      <c r="S462" t="s">
        <v>26</v>
      </c>
      <c r="T462" s="5">
        <v>15905</v>
      </c>
    </row>
    <row r="463" spans="16:20" x14ac:dyDescent="0.3">
      <c r="P463" t="s">
        <v>811</v>
      </c>
      <c r="Q463" t="s">
        <v>78</v>
      </c>
      <c r="R463" t="s">
        <v>46</v>
      </c>
      <c r="S463" t="s">
        <v>42</v>
      </c>
      <c r="T463" s="5">
        <v>4860</v>
      </c>
    </row>
    <row r="464" spans="16:20" x14ac:dyDescent="0.3">
      <c r="P464" t="s">
        <v>812</v>
      </c>
      <c r="Q464" t="s">
        <v>103</v>
      </c>
      <c r="R464" t="s">
        <v>159</v>
      </c>
      <c r="S464" t="s">
        <v>42</v>
      </c>
      <c r="T464" s="5">
        <v>34086</v>
      </c>
    </row>
    <row r="465" spans="16:20" x14ac:dyDescent="0.3">
      <c r="P465" t="s">
        <v>813</v>
      </c>
      <c r="Q465" t="s">
        <v>129</v>
      </c>
      <c r="R465" t="s">
        <v>69</v>
      </c>
      <c r="S465" t="s">
        <v>26</v>
      </c>
      <c r="T465" s="5">
        <v>12012</v>
      </c>
    </row>
    <row r="466" spans="16:20" x14ac:dyDescent="0.3">
      <c r="P466" t="s">
        <v>814</v>
      </c>
      <c r="Q466" t="s">
        <v>179</v>
      </c>
      <c r="R466" t="s">
        <v>97</v>
      </c>
      <c r="S466" t="s">
        <v>35</v>
      </c>
      <c r="T466" s="5">
        <v>48552</v>
      </c>
    </row>
    <row r="467" spans="16:20" x14ac:dyDescent="0.3">
      <c r="P467" t="s">
        <v>815</v>
      </c>
      <c r="Q467" t="s">
        <v>40</v>
      </c>
      <c r="R467" t="s">
        <v>46</v>
      </c>
      <c r="S467" t="s">
        <v>42</v>
      </c>
      <c r="T467" s="5">
        <v>38570</v>
      </c>
    </row>
    <row r="468" spans="16:20" x14ac:dyDescent="0.3">
      <c r="P468" t="s">
        <v>816</v>
      </c>
      <c r="Q468" t="s">
        <v>179</v>
      </c>
      <c r="R468" t="s">
        <v>69</v>
      </c>
      <c r="S468" t="s">
        <v>26</v>
      </c>
      <c r="T468" s="5">
        <v>9906</v>
      </c>
    </row>
    <row r="469" spans="16:20" x14ac:dyDescent="0.3">
      <c r="P469" t="s">
        <v>817</v>
      </c>
      <c r="Q469" t="s">
        <v>72</v>
      </c>
      <c r="R469" t="s">
        <v>69</v>
      </c>
      <c r="S469" t="s">
        <v>26</v>
      </c>
      <c r="T469" s="5">
        <v>41965</v>
      </c>
    </row>
    <row r="470" spans="16:20" x14ac:dyDescent="0.3">
      <c r="P470" t="s">
        <v>818</v>
      </c>
      <c r="Q470" t="s">
        <v>45</v>
      </c>
      <c r="R470" t="s">
        <v>218</v>
      </c>
      <c r="S470" t="s">
        <v>17</v>
      </c>
      <c r="T470" s="5">
        <v>3921</v>
      </c>
    </row>
    <row r="471" spans="16:20" x14ac:dyDescent="0.3">
      <c r="P471" t="s">
        <v>819</v>
      </c>
      <c r="Q471" t="s">
        <v>24</v>
      </c>
      <c r="R471" t="s">
        <v>69</v>
      </c>
      <c r="S471" t="s">
        <v>26</v>
      </c>
      <c r="T471" s="5">
        <v>81800</v>
      </c>
    </row>
    <row r="472" spans="16:20" x14ac:dyDescent="0.3">
      <c r="P472" t="s">
        <v>820</v>
      </c>
      <c r="Q472" t="s">
        <v>33</v>
      </c>
      <c r="R472" t="s">
        <v>97</v>
      </c>
      <c r="S472" t="s">
        <v>35</v>
      </c>
      <c r="T472" s="5">
        <v>28296</v>
      </c>
    </row>
    <row r="473" spans="16:20" x14ac:dyDescent="0.3">
      <c r="P473" t="s">
        <v>821</v>
      </c>
      <c r="Q473" t="s">
        <v>103</v>
      </c>
      <c r="R473" t="s">
        <v>79</v>
      </c>
      <c r="S473" t="s">
        <v>26</v>
      </c>
      <c r="T473" s="5">
        <v>17940</v>
      </c>
    </row>
    <row r="474" spans="16:20" x14ac:dyDescent="0.3">
      <c r="P474" t="s">
        <v>822</v>
      </c>
      <c r="Q474" t="s">
        <v>68</v>
      </c>
      <c r="R474" t="s">
        <v>59</v>
      </c>
      <c r="S474" t="s">
        <v>26</v>
      </c>
      <c r="T474" s="5">
        <v>8744</v>
      </c>
    </row>
    <row r="475" spans="16:20" x14ac:dyDescent="0.3">
      <c r="P475" t="s">
        <v>823</v>
      </c>
      <c r="Q475" t="s">
        <v>72</v>
      </c>
      <c r="R475" t="s">
        <v>147</v>
      </c>
      <c r="S475" t="s">
        <v>52</v>
      </c>
      <c r="T475" s="5">
        <v>5816</v>
      </c>
    </row>
    <row r="476" spans="16:20" x14ac:dyDescent="0.3">
      <c r="P476" t="s">
        <v>824</v>
      </c>
      <c r="Q476" t="s">
        <v>133</v>
      </c>
      <c r="R476" t="s">
        <v>113</v>
      </c>
      <c r="S476" t="s">
        <v>35</v>
      </c>
      <c r="T476" s="5">
        <v>128788</v>
      </c>
    </row>
    <row r="477" spans="16:20" x14ac:dyDescent="0.3">
      <c r="P477" t="s">
        <v>826</v>
      </c>
      <c r="Q477" t="s">
        <v>103</v>
      </c>
      <c r="R477" t="s">
        <v>116</v>
      </c>
      <c r="S477" t="s">
        <v>17</v>
      </c>
      <c r="T477" s="5">
        <v>702</v>
      </c>
    </row>
    <row r="478" spans="16:20" x14ac:dyDescent="0.3">
      <c r="P478" t="s">
        <v>827</v>
      </c>
      <c r="Q478" t="s">
        <v>58</v>
      </c>
      <c r="R478" t="s">
        <v>16</v>
      </c>
      <c r="S478" t="s">
        <v>17</v>
      </c>
      <c r="T478" s="5">
        <v>6012</v>
      </c>
    </row>
    <row r="479" spans="16:20" x14ac:dyDescent="0.3">
      <c r="P479" t="s">
        <v>828</v>
      </c>
      <c r="Q479" t="s">
        <v>78</v>
      </c>
      <c r="R479" t="s">
        <v>79</v>
      </c>
      <c r="S479" t="s">
        <v>26</v>
      </c>
      <c r="T479" s="5">
        <v>7876</v>
      </c>
    </row>
    <row r="480" spans="16:20" x14ac:dyDescent="0.3">
      <c r="P480" t="s">
        <v>830</v>
      </c>
      <c r="Q480" t="s">
        <v>133</v>
      </c>
      <c r="R480" t="s">
        <v>69</v>
      </c>
      <c r="S480" t="s">
        <v>26</v>
      </c>
      <c r="T480" s="5">
        <v>21057</v>
      </c>
    </row>
    <row r="481" spans="16:20" x14ac:dyDescent="0.3">
      <c r="P481" t="s">
        <v>831</v>
      </c>
      <c r="Q481" t="s">
        <v>68</v>
      </c>
      <c r="R481" t="s">
        <v>41</v>
      </c>
      <c r="S481" t="s">
        <v>42</v>
      </c>
      <c r="T481" s="5">
        <v>15792</v>
      </c>
    </row>
    <row r="482" spans="16:20" x14ac:dyDescent="0.3">
      <c r="P482" t="s">
        <v>832</v>
      </c>
      <c r="Q482" t="s">
        <v>129</v>
      </c>
      <c r="R482" t="s">
        <v>59</v>
      </c>
      <c r="S482" t="s">
        <v>26</v>
      </c>
      <c r="T482" s="5">
        <v>31144</v>
      </c>
    </row>
    <row r="483" spans="16:20" x14ac:dyDescent="0.3">
      <c r="P483" t="s">
        <v>834</v>
      </c>
      <c r="Q483" t="s">
        <v>75</v>
      </c>
      <c r="R483" t="s">
        <v>116</v>
      </c>
      <c r="S483" t="s">
        <v>17</v>
      </c>
      <c r="T483" s="5">
        <v>1088</v>
      </c>
    </row>
    <row r="484" spans="16:20" x14ac:dyDescent="0.3">
      <c r="P484" t="s">
        <v>835</v>
      </c>
      <c r="Q484" t="s">
        <v>129</v>
      </c>
      <c r="R484" t="s">
        <v>51</v>
      </c>
      <c r="S484" t="s">
        <v>52</v>
      </c>
      <c r="T484" s="5">
        <v>9176</v>
      </c>
    </row>
    <row r="485" spans="16:20" x14ac:dyDescent="0.3">
      <c r="P485" t="s">
        <v>836</v>
      </c>
      <c r="Q485" t="s">
        <v>15</v>
      </c>
      <c r="R485" t="s">
        <v>59</v>
      </c>
      <c r="S485" t="s">
        <v>26</v>
      </c>
      <c r="T485" s="5">
        <v>71576</v>
      </c>
    </row>
    <row r="486" spans="16:20" x14ac:dyDescent="0.3">
      <c r="P486" t="s">
        <v>838</v>
      </c>
      <c r="Q486" t="s">
        <v>112</v>
      </c>
      <c r="R486" t="s">
        <v>41</v>
      </c>
      <c r="S486" t="s">
        <v>42</v>
      </c>
      <c r="T486" s="5">
        <v>22260</v>
      </c>
    </row>
    <row r="487" spans="16:20" x14ac:dyDescent="0.3">
      <c r="P487" t="s">
        <v>839</v>
      </c>
      <c r="Q487" t="s">
        <v>133</v>
      </c>
      <c r="R487" t="s">
        <v>97</v>
      </c>
      <c r="S487" t="s">
        <v>35</v>
      </c>
      <c r="T487" s="5">
        <v>366740</v>
      </c>
    </row>
    <row r="488" spans="16:20" x14ac:dyDescent="0.3">
      <c r="P488" t="s">
        <v>840</v>
      </c>
      <c r="Q488" t="s">
        <v>24</v>
      </c>
      <c r="R488" t="s">
        <v>97</v>
      </c>
      <c r="S488" t="s">
        <v>35</v>
      </c>
      <c r="T488" s="5">
        <v>205456</v>
      </c>
    </row>
    <row r="489" spans="16:20" x14ac:dyDescent="0.3">
      <c r="P489" t="s">
        <v>842</v>
      </c>
      <c r="Q489" t="s">
        <v>112</v>
      </c>
      <c r="R489" t="s">
        <v>97</v>
      </c>
      <c r="S489" t="s">
        <v>35</v>
      </c>
      <c r="T489" s="5">
        <v>150170</v>
      </c>
    </row>
    <row r="490" spans="16:20" x14ac:dyDescent="0.3">
      <c r="P490" t="s">
        <v>844</v>
      </c>
      <c r="Q490" t="s">
        <v>129</v>
      </c>
      <c r="R490" t="s">
        <v>90</v>
      </c>
      <c r="S490" t="s">
        <v>42</v>
      </c>
      <c r="T490" s="5">
        <v>5580</v>
      </c>
    </row>
    <row r="491" spans="16:20" x14ac:dyDescent="0.3">
      <c r="P491" t="s">
        <v>845</v>
      </c>
      <c r="Q491" t="s">
        <v>40</v>
      </c>
      <c r="R491" t="s">
        <v>41</v>
      </c>
      <c r="S491" t="s">
        <v>42</v>
      </c>
      <c r="T491" s="5">
        <v>6972</v>
      </c>
    </row>
    <row r="492" spans="16:20" x14ac:dyDescent="0.3">
      <c r="P492" t="s">
        <v>847</v>
      </c>
      <c r="Q492" t="s">
        <v>58</v>
      </c>
      <c r="R492" t="s">
        <v>113</v>
      </c>
      <c r="S492" t="s">
        <v>35</v>
      </c>
      <c r="T492" s="5">
        <v>135732</v>
      </c>
    </row>
    <row r="493" spans="16:20" x14ac:dyDescent="0.3">
      <c r="P493" t="s">
        <v>848</v>
      </c>
      <c r="Q493" t="s">
        <v>68</v>
      </c>
      <c r="R493" t="s">
        <v>116</v>
      </c>
      <c r="S493" t="s">
        <v>17</v>
      </c>
      <c r="T493" s="5">
        <v>948</v>
      </c>
    </row>
    <row r="494" spans="16:20" x14ac:dyDescent="0.3">
      <c r="P494" t="s">
        <v>849</v>
      </c>
      <c r="Q494" t="s">
        <v>78</v>
      </c>
      <c r="R494" t="s">
        <v>46</v>
      </c>
      <c r="S494" t="s">
        <v>42</v>
      </c>
      <c r="T494" s="5">
        <v>23855</v>
      </c>
    </row>
    <row r="495" spans="16:20" x14ac:dyDescent="0.3">
      <c r="P495" t="s">
        <v>850</v>
      </c>
      <c r="Q495" t="s">
        <v>58</v>
      </c>
      <c r="R495" t="s">
        <v>218</v>
      </c>
      <c r="S495" t="s">
        <v>17</v>
      </c>
      <c r="T495" s="5">
        <v>5334</v>
      </c>
    </row>
    <row r="496" spans="16:20" x14ac:dyDescent="0.3">
      <c r="P496" t="s">
        <v>851</v>
      </c>
      <c r="Q496" t="s">
        <v>103</v>
      </c>
      <c r="R496" t="s">
        <v>109</v>
      </c>
      <c r="S496" t="s">
        <v>52</v>
      </c>
      <c r="T496" s="5">
        <v>7390</v>
      </c>
    </row>
    <row r="497" spans="16:20" x14ac:dyDescent="0.3">
      <c r="P497" t="s">
        <v>852</v>
      </c>
      <c r="Q497" t="s">
        <v>58</v>
      </c>
      <c r="R497" t="s">
        <v>86</v>
      </c>
      <c r="S497" t="s">
        <v>17</v>
      </c>
      <c r="T497" s="5">
        <v>5888</v>
      </c>
    </row>
    <row r="498" spans="16:20" x14ac:dyDescent="0.3">
      <c r="P498" t="s">
        <v>853</v>
      </c>
      <c r="Q498" t="s">
        <v>179</v>
      </c>
      <c r="R498" t="s">
        <v>97</v>
      </c>
      <c r="S498" t="s">
        <v>35</v>
      </c>
      <c r="T498" s="5">
        <v>238268</v>
      </c>
    </row>
    <row r="499" spans="16:20" x14ac:dyDescent="0.3">
      <c r="P499" t="s">
        <v>854</v>
      </c>
      <c r="Q499" t="s">
        <v>146</v>
      </c>
      <c r="R499" t="s">
        <v>109</v>
      </c>
      <c r="S499" t="s">
        <v>52</v>
      </c>
      <c r="T499" s="5">
        <v>4904</v>
      </c>
    </row>
    <row r="500" spans="16:20" x14ac:dyDescent="0.3">
      <c r="P500" t="s">
        <v>855</v>
      </c>
      <c r="Q500" t="s">
        <v>125</v>
      </c>
      <c r="R500" t="s">
        <v>86</v>
      </c>
      <c r="S500" t="s">
        <v>17</v>
      </c>
      <c r="T500" s="5">
        <v>2895</v>
      </c>
    </row>
    <row r="501" spans="16:20" x14ac:dyDescent="0.3">
      <c r="P501" t="s">
        <v>856</v>
      </c>
      <c r="Q501" t="s">
        <v>112</v>
      </c>
      <c r="R501" t="s">
        <v>165</v>
      </c>
      <c r="S501" t="s">
        <v>35</v>
      </c>
      <c r="T501" s="5">
        <v>28672</v>
      </c>
    </row>
    <row r="502" spans="16:20" x14ac:dyDescent="0.3">
      <c r="P502" t="s">
        <v>857</v>
      </c>
      <c r="Q502" t="s">
        <v>72</v>
      </c>
      <c r="R502" t="s">
        <v>86</v>
      </c>
      <c r="S502" t="s">
        <v>17</v>
      </c>
      <c r="T502" s="5">
        <v>1882</v>
      </c>
    </row>
    <row r="503" spans="16:20" x14ac:dyDescent="0.3">
      <c r="P503" t="s">
        <v>858</v>
      </c>
      <c r="Q503" t="s">
        <v>170</v>
      </c>
      <c r="R503" t="s">
        <v>97</v>
      </c>
      <c r="S503" t="s">
        <v>35</v>
      </c>
      <c r="T503" s="5">
        <v>333860</v>
      </c>
    </row>
    <row r="504" spans="16:20" x14ac:dyDescent="0.3">
      <c r="P504" t="s">
        <v>861</v>
      </c>
      <c r="T504" s="5">
        <v>23006417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D63B-56DA-4B8D-B367-AEEFF7281DB6}">
  <dimension ref="A1:M501"/>
  <sheetViews>
    <sheetView workbookViewId="0">
      <selection activeCell="P9" sqref="P9"/>
    </sheetView>
  </sheetViews>
  <sheetFormatPr defaultRowHeight="14.4" x14ac:dyDescent="0.3"/>
  <cols>
    <col min="1" max="1" width="10" customWidth="1"/>
    <col min="2" max="2" width="10.33203125" bestFit="1" customWidth="1"/>
    <col min="3" max="3" width="16.44140625" customWidth="1"/>
    <col min="4" max="4" width="15.44140625" bestFit="1" customWidth="1"/>
    <col min="5" max="5" width="10" bestFit="1" customWidth="1"/>
    <col min="6" max="6" width="11.21875" bestFit="1" customWidth="1"/>
    <col min="7" max="7" width="10.33203125" bestFit="1" customWidth="1"/>
    <col min="8" max="8" width="16.6640625" customWidth="1"/>
    <col min="9" max="9" width="7.21875" customWidth="1"/>
    <col min="10" max="10" width="9.5546875" customWidth="1"/>
    <col min="11" max="11" width="7.88671875" customWidth="1"/>
    <col min="12" max="12" width="9.21875" customWidth="1"/>
    <col min="13" max="13" width="7.8867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20</v>
      </c>
      <c r="I2">
        <v>3028</v>
      </c>
      <c r="J2">
        <v>4</v>
      </c>
      <c r="K2">
        <v>4.3</v>
      </c>
      <c r="L2">
        <v>1</v>
      </c>
      <c r="M2" t="s">
        <v>21</v>
      </c>
    </row>
    <row r="3" spans="1:13" x14ac:dyDescent="0.3">
      <c r="A3" t="s">
        <v>22</v>
      </c>
      <c r="B3" t="s">
        <v>23</v>
      </c>
      <c r="C3" t="s">
        <v>24</v>
      </c>
      <c r="D3" t="s">
        <v>25</v>
      </c>
      <c r="E3" t="s">
        <v>26</v>
      </c>
      <c r="F3" t="s">
        <v>27</v>
      </c>
      <c r="G3" t="s">
        <v>28</v>
      </c>
      <c r="H3" t="s">
        <v>29</v>
      </c>
      <c r="I3">
        <v>32636</v>
      </c>
      <c r="J3">
        <v>4</v>
      </c>
      <c r="K3">
        <v>4.3</v>
      </c>
      <c r="L3">
        <v>1</v>
      </c>
      <c r="M3" t="s">
        <v>30</v>
      </c>
    </row>
    <row r="4" spans="1:13" x14ac:dyDescent="0.3">
      <c r="A4" t="s">
        <v>31</v>
      </c>
      <c r="B4" t="s">
        <v>32</v>
      </c>
      <c r="C4" t="s">
        <v>33</v>
      </c>
      <c r="D4" t="s">
        <v>34</v>
      </c>
      <c r="E4" t="s">
        <v>35</v>
      </c>
      <c r="F4" t="s">
        <v>27</v>
      </c>
      <c r="G4" t="s">
        <v>28</v>
      </c>
      <c r="H4" t="s">
        <v>36</v>
      </c>
      <c r="I4">
        <v>313782</v>
      </c>
      <c r="J4">
        <v>6</v>
      </c>
      <c r="K4">
        <v>4.7</v>
      </c>
      <c r="L4">
        <v>5</v>
      </c>
      <c r="M4" t="s">
        <v>37</v>
      </c>
    </row>
    <row r="5" spans="1:13" x14ac:dyDescent="0.3">
      <c r="A5" t="s">
        <v>38</v>
      </c>
      <c r="B5" t="s">
        <v>39</v>
      </c>
      <c r="C5" t="s">
        <v>40</v>
      </c>
      <c r="D5" t="s">
        <v>41</v>
      </c>
      <c r="E5" t="s">
        <v>42</v>
      </c>
      <c r="F5" t="s">
        <v>18</v>
      </c>
      <c r="G5" t="s">
        <v>19</v>
      </c>
      <c r="H5" t="s">
        <v>36</v>
      </c>
      <c r="I5">
        <v>11375</v>
      </c>
      <c r="J5">
        <v>5</v>
      </c>
      <c r="K5">
        <v>3.3</v>
      </c>
      <c r="L5">
        <v>4</v>
      </c>
      <c r="M5" t="s">
        <v>30</v>
      </c>
    </row>
    <row r="6" spans="1:13" x14ac:dyDescent="0.3">
      <c r="A6" t="s">
        <v>43</v>
      </c>
      <c r="B6" t="s">
        <v>44</v>
      </c>
      <c r="C6" t="s">
        <v>45</v>
      </c>
      <c r="D6" t="s">
        <v>46</v>
      </c>
      <c r="E6" t="s">
        <v>42</v>
      </c>
      <c r="F6" t="s">
        <v>27</v>
      </c>
      <c r="G6" t="s">
        <v>19</v>
      </c>
      <c r="H6" t="s">
        <v>20</v>
      </c>
      <c r="I6">
        <v>14496</v>
      </c>
      <c r="J6">
        <v>6</v>
      </c>
      <c r="K6">
        <v>3.7</v>
      </c>
      <c r="L6">
        <v>2</v>
      </c>
      <c r="M6" t="s">
        <v>47</v>
      </c>
    </row>
    <row r="7" spans="1:13" x14ac:dyDescent="0.3">
      <c r="A7" t="s">
        <v>48</v>
      </c>
      <c r="B7" t="s">
        <v>49</v>
      </c>
      <c r="C7" t="s">
        <v>50</v>
      </c>
      <c r="D7" t="s">
        <v>51</v>
      </c>
      <c r="E7" t="s">
        <v>52</v>
      </c>
      <c r="F7" t="s">
        <v>53</v>
      </c>
      <c r="G7" t="s">
        <v>54</v>
      </c>
      <c r="H7" t="s">
        <v>20</v>
      </c>
      <c r="I7">
        <v>5745</v>
      </c>
      <c r="J7">
        <v>5</v>
      </c>
      <c r="K7">
        <v>4.7</v>
      </c>
      <c r="L7">
        <v>6</v>
      </c>
      <c r="M7" t="s">
        <v>55</v>
      </c>
    </row>
    <row r="8" spans="1:13" x14ac:dyDescent="0.3">
      <c r="A8" t="s">
        <v>56</v>
      </c>
      <c r="B8" t="s">
        <v>57</v>
      </c>
      <c r="C8" t="s">
        <v>58</v>
      </c>
      <c r="D8" t="s">
        <v>59</v>
      </c>
      <c r="E8" t="s">
        <v>26</v>
      </c>
      <c r="F8" t="s">
        <v>60</v>
      </c>
      <c r="G8" t="s">
        <v>28</v>
      </c>
      <c r="H8" t="s">
        <v>29</v>
      </c>
      <c r="I8">
        <v>24696</v>
      </c>
      <c r="J8">
        <v>8</v>
      </c>
      <c r="K8">
        <v>3.6</v>
      </c>
      <c r="L8">
        <v>5</v>
      </c>
      <c r="M8" t="s">
        <v>37</v>
      </c>
    </row>
    <row r="9" spans="1:13" x14ac:dyDescent="0.3">
      <c r="A9" t="s">
        <v>61</v>
      </c>
      <c r="B9" t="s">
        <v>62</v>
      </c>
      <c r="C9" t="s">
        <v>45</v>
      </c>
      <c r="D9" t="s">
        <v>63</v>
      </c>
      <c r="E9" t="s">
        <v>52</v>
      </c>
      <c r="F9" t="s">
        <v>18</v>
      </c>
      <c r="G9" t="s">
        <v>28</v>
      </c>
      <c r="H9" t="s">
        <v>64</v>
      </c>
      <c r="I9">
        <v>3536</v>
      </c>
      <c r="J9">
        <v>8</v>
      </c>
      <c r="K9">
        <v>3.5</v>
      </c>
      <c r="L9">
        <v>7</v>
      </c>
      <c r="M9" t="s">
        <v>65</v>
      </c>
    </row>
    <row r="10" spans="1:13" x14ac:dyDescent="0.3">
      <c r="A10" t="s">
        <v>66</v>
      </c>
      <c r="B10" t="s">
        <v>67</v>
      </c>
      <c r="C10" t="s">
        <v>68</v>
      </c>
      <c r="D10" t="s">
        <v>69</v>
      </c>
      <c r="E10" t="s">
        <v>26</v>
      </c>
      <c r="F10" t="s">
        <v>53</v>
      </c>
      <c r="G10" t="s">
        <v>28</v>
      </c>
      <c r="H10" t="s">
        <v>20</v>
      </c>
      <c r="I10">
        <v>25855</v>
      </c>
      <c r="J10">
        <v>5</v>
      </c>
      <c r="K10">
        <v>4.5999999999999996</v>
      </c>
      <c r="L10">
        <v>6</v>
      </c>
      <c r="M10" t="s">
        <v>65</v>
      </c>
    </row>
    <row r="11" spans="1:13" x14ac:dyDescent="0.3">
      <c r="A11" t="s">
        <v>70</v>
      </c>
      <c r="B11" t="s">
        <v>71</v>
      </c>
      <c r="C11" t="s">
        <v>72</v>
      </c>
      <c r="D11" t="s">
        <v>41</v>
      </c>
      <c r="E11" t="s">
        <v>42</v>
      </c>
      <c r="F11" t="s">
        <v>53</v>
      </c>
      <c r="G11" t="s">
        <v>19</v>
      </c>
      <c r="H11" t="s">
        <v>36</v>
      </c>
      <c r="I11">
        <v>9432</v>
      </c>
      <c r="J11">
        <v>3</v>
      </c>
      <c r="K11">
        <v>4.0999999999999996</v>
      </c>
      <c r="L11">
        <v>4</v>
      </c>
      <c r="M11" t="s">
        <v>21</v>
      </c>
    </row>
    <row r="12" spans="1:13" x14ac:dyDescent="0.3">
      <c r="A12" t="s">
        <v>73</v>
      </c>
      <c r="B12" t="s">
        <v>74</v>
      </c>
      <c r="C12" t="s">
        <v>75</v>
      </c>
      <c r="D12" t="s">
        <v>59</v>
      </c>
      <c r="E12" t="s">
        <v>26</v>
      </c>
      <c r="F12" t="s">
        <v>27</v>
      </c>
      <c r="G12" t="s">
        <v>28</v>
      </c>
      <c r="H12" t="s">
        <v>36</v>
      </c>
      <c r="I12">
        <v>1749</v>
      </c>
      <c r="J12">
        <v>1</v>
      </c>
      <c r="K12">
        <v>3.6</v>
      </c>
      <c r="L12">
        <v>2</v>
      </c>
      <c r="M12" t="s">
        <v>65</v>
      </c>
    </row>
    <row r="13" spans="1:13" x14ac:dyDescent="0.3">
      <c r="A13" t="s">
        <v>76</v>
      </c>
      <c r="B13" t="s">
        <v>77</v>
      </c>
      <c r="C13" t="s">
        <v>78</v>
      </c>
      <c r="D13" t="s">
        <v>79</v>
      </c>
      <c r="E13" t="s">
        <v>26</v>
      </c>
      <c r="F13" t="s">
        <v>27</v>
      </c>
      <c r="G13" t="s">
        <v>19</v>
      </c>
      <c r="H13" t="s">
        <v>29</v>
      </c>
      <c r="I13">
        <v>85904</v>
      </c>
      <c r="J13">
        <v>8</v>
      </c>
      <c r="K13">
        <v>4</v>
      </c>
      <c r="L13">
        <v>4</v>
      </c>
      <c r="M13" t="s">
        <v>80</v>
      </c>
    </row>
    <row r="14" spans="1:13" x14ac:dyDescent="0.3">
      <c r="A14" t="s">
        <v>81</v>
      </c>
      <c r="B14" t="s">
        <v>82</v>
      </c>
      <c r="C14" t="s">
        <v>58</v>
      </c>
      <c r="D14" t="s">
        <v>46</v>
      </c>
      <c r="E14" t="s">
        <v>42</v>
      </c>
      <c r="F14" t="s">
        <v>83</v>
      </c>
      <c r="G14" t="s">
        <v>54</v>
      </c>
      <c r="H14" t="s">
        <v>36</v>
      </c>
      <c r="I14">
        <v>9792</v>
      </c>
      <c r="J14">
        <v>8</v>
      </c>
      <c r="K14">
        <v>3.2</v>
      </c>
      <c r="L14">
        <v>4</v>
      </c>
      <c r="M14" t="s">
        <v>47</v>
      </c>
    </row>
    <row r="15" spans="1:13" x14ac:dyDescent="0.3">
      <c r="A15" t="s">
        <v>84</v>
      </c>
      <c r="B15" t="s">
        <v>85</v>
      </c>
      <c r="C15" t="s">
        <v>78</v>
      </c>
      <c r="D15" t="s">
        <v>86</v>
      </c>
      <c r="E15" t="s">
        <v>17</v>
      </c>
      <c r="F15" t="s">
        <v>83</v>
      </c>
      <c r="G15" t="s">
        <v>28</v>
      </c>
      <c r="H15" t="s">
        <v>20</v>
      </c>
      <c r="I15">
        <v>976</v>
      </c>
      <c r="J15">
        <v>1</v>
      </c>
      <c r="K15">
        <v>4.4000000000000004</v>
      </c>
      <c r="L15">
        <v>4</v>
      </c>
      <c r="M15" t="s">
        <v>87</v>
      </c>
    </row>
    <row r="16" spans="1:13" x14ac:dyDescent="0.3">
      <c r="A16" t="s">
        <v>88</v>
      </c>
      <c r="B16" t="s">
        <v>89</v>
      </c>
      <c r="C16" t="s">
        <v>68</v>
      </c>
      <c r="D16" t="s">
        <v>90</v>
      </c>
      <c r="E16" t="s">
        <v>42</v>
      </c>
      <c r="F16" t="s">
        <v>18</v>
      </c>
      <c r="G16" t="s">
        <v>28</v>
      </c>
      <c r="H16" t="s">
        <v>29</v>
      </c>
      <c r="I16">
        <v>8338</v>
      </c>
      <c r="J16">
        <v>2</v>
      </c>
      <c r="K16">
        <v>4</v>
      </c>
      <c r="L16">
        <v>1</v>
      </c>
      <c r="M16" t="s">
        <v>37</v>
      </c>
    </row>
    <row r="17" spans="1:13" x14ac:dyDescent="0.3">
      <c r="A17" t="s">
        <v>91</v>
      </c>
      <c r="B17" t="s">
        <v>92</v>
      </c>
      <c r="C17" t="s">
        <v>75</v>
      </c>
      <c r="D17" t="s">
        <v>86</v>
      </c>
      <c r="E17" t="s">
        <v>17</v>
      </c>
      <c r="F17" t="s">
        <v>60</v>
      </c>
      <c r="G17" t="s">
        <v>54</v>
      </c>
      <c r="H17" t="s">
        <v>36</v>
      </c>
      <c r="I17">
        <v>5592</v>
      </c>
      <c r="J17">
        <v>4</v>
      </c>
      <c r="K17">
        <v>3.7</v>
      </c>
      <c r="L17">
        <v>4</v>
      </c>
      <c r="M17" t="s">
        <v>37</v>
      </c>
    </row>
    <row r="18" spans="1:13" x14ac:dyDescent="0.3">
      <c r="A18" t="s">
        <v>93</v>
      </c>
      <c r="B18" t="s">
        <v>94</v>
      </c>
      <c r="C18" t="s">
        <v>24</v>
      </c>
      <c r="D18" t="s">
        <v>25</v>
      </c>
      <c r="E18" t="s">
        <v>26</v>
      </c>
      <c r="F18" t="s">
        <v>60</v>
      </c>
      <c r="G18" t="s">
        <v>54</v>
      </c>
      <c r="H18" t="s">
        <v>64</v>
      </c>
      <c r="I18">
        <v>17208</v>
      </c>
      <c r="J18">
        <v>4</v>
      </c>
      <c r="K18">
        <v>4.8</v>
      </c>
      <c r="L18">
        <v>1</v>
      </c>
      <c r="M18" t="s">
        <v>87</v>
      </c>
    </row>
    <row r="19" spans="1:13" x14ac:dyDescent="0.3">
      <c r="A19" t="s">
        <v>95</v>
      </c>
      <c r="B19" t="s">
        <v>96</v>
      </c>
      <c r="C19" t="s">
        <v>58</v>
      </c>
      <c r="D19" t="s">
        <v>97</v>
      </c>
      <c r="E19" t="s">
        <v>35</v>
      </c>
      <c r="F19" t="s">
        <v>27</v>
      </c>
      <c r="G19" t="s">
        <v>54</v>
      </c>
      <c r="H19" t="s">
        <v>29</v>
      </c>
      <c r="I19">
        <v>159523</v>
      </c>
      <c r="J19">
        <v>7</v>
      </c>
      <c r="K19">
        <v>3.6</v>
      </c>
      <c r="L19">
        <v>1</v>
      </c>
      <c r="M19" t="s">
        <v>21</v>
      </c>
    </row>
    <row r="20" spans="1:13" x14ac:dyDescent="0.3">
      <c r="A20" t="s">
        <v>98</v>
      </c>
      <c r="B20" t="s">
        <v>99</v>
      </c>
      <c r="C20" t="s">
        <v>75</v>
      </c>
      <c r="D20" t="s">
        <v>16</v>
      </c>
      <c r="E20" t="s">
        <v>17</v>
      </c>
      <c r="F20" t="s">
        <v>100</v>
      </c>
      <c r="G20" t="s">
        <v>54</v>
      </c>
      <c r="H20" t="s">
        <v>20</v>
      </c>
      <c r="I20">
        <v>10632</v>
      </c>
      <c r="J20">
        <v>8</v>
      </c>
      <c r="K20">
        <v>3.3</v>
      </c>
      <c r="L20">
        <v>3</v>
      </c>
      <c r="M20" t="s">
        <v>30</v>
      </c>
    </row>
    <row r="21" spans="1:13" x14ac:dyDescent="0.3">
      <c r="A21" t="s">
        <v>101</v>
      </c>
      <c r="B21" t="s">
        <v>102</v>
      </c>
      <c r="C21" t="s">
        <v>103</v>
      </c>
      <c r="D21" t="s">
        <v>41</v>
      </c>
      <c r="E21" t="s">
        <v>42</v>
      </c>
      <c r="F21" t="s">
        <v>100</v>
      </c>
      <c r="G21" t="s">
        <v>104</v>
      </c>
      <c r="H21" t="s">
        <v>20</v>
      </c>
      <c r="I21">
        <v>5484</v>
      </c>
      <c r="J21">
        <v>4</v>
      </c>
      <c r="K21">
        <v>4.4000000000000004</v>
      </c>
      <c r="L21">
        <v>6</v>
      </c>
      <c r="M21" t="s">
        <v>30</v>
      </c>
    </row>
    <row r="22" spans="1:13" x14ac:dyDescent="0.3">
      <c r="A22" t="s">
        <v>105</v>
      </c>
      <c r="B22" t="s">
        <v>106</v>
      </c>
      <c r="C22" t="s">
        <v>75</v>
      </c>
      <c r="D22" t="s">
        <v>97</v>
      </c>
      <c r="E22" t="s">
        <v>35</v>
      </c>
      <c r="F22" t="s">
        <v>100</v>
      </c>
      <c r="G22" t="s">
        <v>19</v>
      </c>
      <c r="H22" t="s">
        <v>29</v>
      </c>
      <c r="I22">
        <v>60040</v>
      </c>
      <c r="J22">
        <v>5</v>
      </c>
      <c r="K22">
        <v>4.3</v>
      </c>
      <c r="L22">
        <v>2</v>
      </c>
      <c r="M22" t="s">
        <v>80</v>
      </c>
    </row>
    <row r="23" spans="1:13" x14ac:dyDescent="0.3">
      <c r="A23" t="s">
        <v>107</v>
      </c>
      <c r="B23" t="s">
        <v>108</v>
      </c>
      <c r="C23" t="s">
        <v>78</v>
      </c>
      <c r="D23" t="s">
        <v>109</v>
      </c>
      <c r="E23" t="s">
        <v>52</v>
      </c>
      <c r="F23" t="s">
        <v>53</v>
      </c>
      <c r="G23" t="s">
        <v>54</v>
      </c>
      <c r="H23" t="s">
        <v>20</v>
      </c>
      <c r="I23">
        <v>5668</v>
      </c>
      <c r="J23">
        <v>4</v>
      </c>
      <c r="K23">
        <v>4.5</v>
      </c>
      <c r="L23">
        <v>1</v>
      </c>
      <c r="M23" t="s">
        <v>87</v>
      </c>
    </row>
    <row r="24" spans="1:13" x14ac:dyDescent="0.3">
      <c r="A24" t="s">
        <v>110</v>
      </c>
      <c r="B24" t="s">
        <v>111</v>
      </c>
      <c r="C24" t="s">
        <v>112</v>
      </c>
      <c r="D24" t="s">
        <v>113</v>
      </c>
      <c r="E24" t="s">
        <v>35</v>
      </c>
      <c r="F24" t="s">
        <v>60</v>
      </c>
      <c r="G24" t="s">
        <v>104</v>
      </c>
      <c r="H24" t="s">
        <v>36</v>
      </c>
      <c r="I24">
        <v>245328</v>
      </c>
      <c r="J24">
        <v>3</v>
      </c>
      <c r="K24">
        <v>3.6</v>
      </c>
      <c r="L24">
        <v>5</v>
      </c>
      <c r="M24" t="s">
        <v>87</v>
      </c>
    </row>
    <row r="25" spans="1:13" x14ac:dyDescent="0.3">
      <c r="A25" t="s">
        <v>114</v>
      </c>
      <c r="B25" t="s">
        <v>115</v>
      </c>
      <c r="C25" t="s">
        <v>78</v>
      </c>
      <c r="D25" t="s">
        <v>116</v>
      </c>
      <c r="E25" t="s">
        <v>17</v>
      </c>
      <c r="F25" t="s">
        <v>27</v>
      </c>
      <c r="G25" t="s">
        <v>28</v>
      </c>
      <c r="H25" t="s">
        <v>36</v>
      </c>
      <c r="I25">
        <v>307</v>
      </c>
      <c r="J25">
        <v>1</v>
      </c>
      <c r="K25">
        <v>3.5</v>
      </c>
      <c r="L25">
        <v>8</v>
      </c>
      <c r="M25" t="s">
        <v>21</v>
      </c>
    </row>
    <row r="26" spans="1:13" x14ac:dyDescent="0.3">
      <c r="A26" t="s">
        <v>117</v>
      </c>
      <c r="B26" t="s">
        <v>118</v>
      </c>
      <c r="C26" t="s">
        <v>33</v>
      </c>
      <c r="D26" t="s">
        <v>16</v>
      </c>
      <c r="E26" t="s">
        <v>17</v>
      </c>
      <c r="F26" t="s">
        <v>53</v>
      </c>
      <c r="G26" t="s">
        <v>104</v>
      </c>
      <c r="H26" t="s">
        <v>36</v>
      </c>
      <c r="I26">
        <v>4251</v>
      </c>
      <c r="J26">
        <v>3</v>
      </c>
      <c r="K26">
        <v>3.5</v>
      </c>
      <c r="L26">
        <v>3</v>
      </c>
      <c r="M26" t="s">
        <v>119</v>
      </c>
    </row>
    <row r="27" spans="1:13" x14ac:dyDescent="0.3">
      <c r="A27" t="s">
        <v>120</v>
      </c>
      <c r="B27" t="s">
        <v>121</v>
      </c>
      <c r="C27" t="s">
        <v>122</v>
      </c>
      <c r="D27" t="s">
        <v>34</v>
      </c>
      <c r="E27" t="s">
        <v>35</v>
      </c>
      <c r="F27" t="s">
        <v>83</v>
      </c>
      <c r="G27" t="s">
        <v>19</v>
      </c>
      <c r="H27" t="s">
        <v>64</v>
      </c>
      <c r="I27">
        <v>195428</v>
      </c>
      <c r="J27">
        <v>4</v>
      </c>
      <c r="K27">
        <v>5</v>
      </c>
      <c r="L27">
        <v>3</v>
      </c>
      <c r="M27" t="s">
        <v>119</v>
      </c>
    </row>
    <row r="28" spans="1:13" x14ac:dyDescent="0.3">
      <c r="A28" t="s">
        <v>123</v>
      </c>
      <c r="B28" t="s">
        <v>124</v>
      </c>
      <c r="C28" t="s">
        <v>125</v>
      </c>
      <c r="D28" t="s">
        <v>86</v>
      </c>
      <c r="E28" t="s">
        <v>17</v>
      </c>
      <c r="F28" t="s">
        <v>83</v>
      </c>
      <c r="G28" t="s">
        <v>19</v>
      </c>
      <c r="H28" t="s">
        <v>64</v>
      </c>
      <c r="I28">
        <v>11697</v>
      </c>
      <c r="J28">
        <v>7</v>
      </c>
      <c r="K28">
        <v>3.9</v>
      </c>
      <c r="L28">
        <v>1</v>
      </c>
      <c r="M28" t="s">
        <v>126</v>
      </c>
    </row>
    <row r="29" spans="1:13" x14ac:dyDescent="0.3">
      <c r="A29" t="s">
        <v>127</v>
      </c>
      <c r="B29" t="s">
        <v>128</v>
      </c>
      <c r="C29" t="s">
        <v>129</v>
      </c>
      <c r="D29" t="s">
        <v>130</v>
      </c>
      <c r="E29" t="s">
        <v>35</v>
      </c>
      <c r="F29" t="s">
        <v>27</v>
      </c>
      <c r="G29" t="s">
        <v>28</v>
      </c>
      <c r="H29" t="s">
        <v>29</v>
      </c>
      <c r="I29">
        <v>218908</v>
      </c>
      <c r="J29">
        <v>4</v>
      </c>
      <c r="K29">
        <v>4.8</v>
      </c>
      <c r="L29">
        <v>5</v>
      </c>
      <c r="M29" t="s">
        <v>37</v>
      </c>
    </row>
    <row r="30" spans="1:13" x14ac:dyDescent="0.3">
      <c r="A30" t="s">
        <v>131</v>
      </c>
      <c r="B30" t="s">
        <v>132</v>
      </c>
      <c r="C30" t="s">
        <v>133</v>
      </c>
      <c r="D30" t="s">
        <v>16</v>
      </c>
      <c r="E30" t="s">
        <v>17</v>
      </c>
      <c r="F30" t="s">
        <v>100</v>
      </c>
      <c r="G30" t="s">
        <v>54</v>
      </c>
      <c r="H30" t="s">
        <v>64</v>
      </c>
      <c r="I30">
        <v>4467</v>
      </c>
      <c r="J30">
        <v>3</v>
      </c>
      <c r="K30">
        <v>4</v>
      </c>
      <c r="L30">
        <v>6</v>
      </c>
      <c r="M30" t="s">
        <v>21</v>
      </c>
    </row>
    <row r="31" spans="1:13" x14ac:dyDescent="0.3">
      <c r="A31" t="s">
        <v>134</v>
      </c>
      <c r="B31" t="s">
        <v>135</v>
      </c>
      <c r="C31" t="s">
        <v>129</v>
      </c>
      <c r="D31" t="s">
        <v>79</v>
      </c>
      <c r="E31" t="s">
        <v>26</v>
      </c>
      <c r="F31" t="s">
        <v>60</v>
      </c>
      <c r="G31" t="s">
        <v>54</v>
      </c>
      <c r="H31" t="s">
        <v>29</v>
      </c>
      <c r="I31">
        <v>9621</v>
      </c>
      <c r="J31">
        <v>1</v>
      </c>
      <c r="K31">
        <v>4.4000000000000004</v>
      </c>
      <c r="L31">
        <v>4</v>
      </c>
      <c r="M31" t="s">
        <v>21</v>
      </c>
    </row>
    <row r="32" spans="1:13" x14ac:dyDescent="0.3">
      <c r="A32" t="s">
        <v>136</v>
      </c>
      <c r="B32" t="s">
        <v>137</v>
      </c>
      <c r="C32" t="s">
        <v>40</v>
      </c>
      <c r="D32" t="s">
        <v>59</v>
      </c>
      <c r="E32" t="s">
        <v>26</v>
      </c>
      <c r="F32" t="s">
        <v>100</v>
      </c>
      <c r="G32" t="s">
        <v>19</v>
      </c>
      <c r="H32" t="s">
        <v>20</v>
      </c>
      <c r="I32">
        <v>23452</v>
      </c>
      <c r="J32">
        <v>2</v>
      </c>
      <c r="K32">
        <v>3.9</v>
      </c>
      <c r="L32">
        <v>7</v>
      </c>
      <c r="M32" t="s">
        <v>119</v>
      </c>
    </row>
    <row r="33" spans="1:13" x14ac:dyDescent="0.3">
      <c r="A33" t="s">
        <v>138</v>
      </c>
      <c r="B33" t="s">
        <v>139</v>
      </c>
      <c r="C33" t="s">
        <v>133</v>
      </c>
      <c r="D33" t="s">
        <v>90</v>
      </c>
      <c r="E33" t="s">
        <v>42</v>
      </c>
      <c r="F33" t="s">
        <v>100</v>
      </c>
      <c r="G33" t="s">
        <v>104</v>
      </c>
      <c r="H33" t="s">
        <v>64</v>
      </c>
      <c r="I33">
        <v>15564</v>
      </c>
      <c r="J33">
        <v>3</v>
      </c>
      <c r="K33">
        <v>3.7</v>
      </c>
      <c r="L33">
        <v>4</v>
      </c>
      <c r="M33" t="s">
        <v>119</v>
      </c>
    </row>
    <row r="34" spans="1:13" x14ac:dyDescent="0.3">
      <c r="A34" t="s">
        <v>140</v>
      </c>
      <c r="B34" t="s">
        <v>141</v>
      </c>
      <c r="C34" t="s">
        <v>75</v>
      </c>
      <c r="D34" t="s">
        <v>90</v>
      </c>
      <c r="E34" t="s">
        <v>42</v>
      </c>
      <c r="F34" t="s">
        <v>83</v>
      </c>
      <c r="G34" t="s">
        <v>104</v>
      </c>
      <c r="H34" t="s">
        <v>20</v>
      </c>
      <c r="I34">
        <v>5576</v>
      </c>
      <c r="J34">
        <v>4</v>
      </c>
      <c r="K34">
        <v>4.0999999999999996</v>
      </c>
      <c r="L34">
        <v>6</v>
      </c>
      <c r="M34" t="s">
        <v>119</v>
      </c>
    </row>
    <row r="35" spans="1:13" x14ac:dyDescent="0.3">
      <c r="A35" t="s">
        <v>142</v>
      </c>
      <c r="B35" t="s">
        <v>143</v>
      </c>
      <c r="C35" t="s">
        <v>50</v>
      </c>
      <c r="D35" t="s">
        <v>63</v>
      </c>
      <c r="E35" t="s">
        <v>52</v>
      </c>
      <c r="F35" t="s">
        <v>60</v>
      </c>
      <c r="G35" t="s">
        <v>28</v>
      </c>
      <c r="H35" t="s">
        <v>20</v>
      </c>
      <c r="I35">
        <v>2196</v>
      </c>
      <c r="J35">
        <v>1</v>
      </c>
      <c r="K35">
        <v>3.9</v>
      </c>
      <c r="L35">
        <v>4</v>
      </c>
      <c r="M35" t="s">
        <v>144</v>
      </c>
    </row>
    <row r="36" spans="1:13" x14ac:dyDescent="0.3">
      <c r="A36" t="s">
        <v>145</v>
      </c>
      <c r="B36" t="s">
        <v>111</v>
      </c>
      <c r="C36" t="s">
        <v>146</v>
      </c>
      <c r="D36" t="s">
        <v>147</v>
      </c>
      <c r="E36" t="s">
        <v>52</v>
      </c>
      <c r="F36" t="s">
        <v>83</v>
      </c>
      <c r="G36" t="s">
        <v>28</v>
      </c>
      <c r="H36" t="s">
        <v>29</v>
      </c>
      <c r="I36">
        <v>6790</v>
      </c>
      <c r="J36">
        <v>7</v>
      </c>
      <c r="K36">
        <v>4.2</v>
      </c>
      <c r="L36">
        <v>2</v>
      </c>
      <c r="M36" t="s">
        <v>87</v>
      </c>
    </row>
    <row r="37" spans="1:13" x14ac:dyDescent="0.3">
      <c r="A37" t="s">
        <v>148</v>
      </c>
      <c r="B37" t="s">
        <v>149</v>
      </c>
      <c r="C37" t="s">
        <v>112</v>
      </c>
      <c r="D37" t="s">
        <v>90</v>
      </c>
      <c r="E37" t="s">
        <v>42</v>
      </c>
      <c r="F37" t="s">
        <v>60</v>
      </c>
      <c r="G37" t="s">
        <v>19</v>
      </c>
      <c r="H37" t="s">
        <v>29</v>
      </c>
      <c r="I37">
        <v>22584</v>
      </c>
      <c r="J37">
        <v>8</v>
      </c>
      <c r="K37">
        <v>4.7</v>
      </c>
      <c r="L37">
        <v>5</v>
      </c>
      <c r="M37" t="s">
        <v>30</v>
      </c>
    </row>
    <row r="38" spans="1:13" x14ac:dyDescent="0.3">
      <c r="A38" t="s">
        <v>150</v>
      </c>
      <c r="B38" t="s">
        <v>96</v>
      </c>
      <c r="C38" t="s">
        <v>50</v>
      </c>
      <c r="D38" t="s">
        <v>41</v>
      </c>
      <c r="E38" t="s">
        <v>42</v>
      </c>
      <c r="F38" t="s">
        <v>27</v>
      </c>
      <c r="G38" t="s">
        <v>19</v>
      </c>
      <c r="H38" t="s">
        <v>20</v>
      </c>
      <c r="I38">
        <v>20496</v>
      </c>
      <c r="J38">
        <v>4</v>
      </c>
      <c r="K38">
        <v>3.4</v>
      </c>
      <c r="L38">
        <v>4</v>
      </c>
      <c r="M38" t="s">
        <v>21</v>
      </c>
    </row>
    <row r="39" spans="1:13" x14ac:dyDescent="0.3">
      <c r="A39" t="s">
        <v>151</v>
      </c>
      <c r="B39" t="s">
        <v>152</v>
      </c>
      <c r="C39" t="s">
        <v>58</v>
      </c>
      <c r="D39" t="s">
        <v>116</v>
      </c>
      <c r="E39" t="s">
        <v>17</v>
      </c>
      <c r="F39" t="s">
        <v>27</v>
      </c>
      <c r="G39" t="s">
        <v>54</v>
      </c>
      <c r="H39" t="s">
        <v>64</v>
      </c>
      <c r="I39">
        <v>8466</v>
      </c>
      <c r="J39">
        <v>6</v>
      </c>
      <c r="K39">
        <v>4.7</v>
      </c>
      <c r="L39">
        <v>7</v>
      </c>
      <c r="M39" t="s">
        <v>55</v>
      </c>
    </row>
    <row r="40" spans="1:13" x14ac:dyDescent="0.3">
      <c r="A40" t="s">
        <v>153</v>
      </c>
      <c r="B40" t="s">
        <v>154</v>
      </c>
      <c r="C40" t="s">
        <v>122</v>
      </c>
      <c r="D40" t="s">
        <v>41</v>
      </c>
      <c r="E40" t="s">
        <v>42</v>
      </c>
      <c r="F40" t="s">
        <v>53</v>
      </c>
      <c r="G40" t="s">
        <v>28</v>
      </c>
      <c r="H40" t="s">
        <v>64</v>
      </c>
      <c r="I40">
        <v>25865</v>
      </c>
      <c r="J40">
        <v>5</v>
      </c>
      <c r="K40">
        <v>4.8</v>
      </c>
      <c r="L40">
        <v>8</v>
      </c>
      <c r="M40" t="s">
        <v>126</v>
      </c>
    </row>
    <row r="41" spans="1:13" x14ac:dyDescent="0.3">
      <c r="A41" t="s">
        <v>155</v>
      </c>
      <c r="B41" t="s">
        <v>156</v>
      </c>
      <c r="C41" t="s">
        <v>58</v>
      </c>
      <c r="D41" t="s">
        <v>116</v>
      </c>
      <c r="E41" t="s">
        <v>17</v>
      </c>
      <c r="F41" t="s">
        <v>100</v>
      </c>
      <c r="G41" t="s">
        <v>54</v>
      </c>
      <c r="H41" t="s">
        <v>36</v>
      </c>
      <c r="I41">
        <v>12481</v>
      </c>
      <c r="J41">
        <v>7</v>
      </c>
      <c r="K41">
        <v>4.2</v>
      </c>
      <c r="L41">
        <v>7</v>
      </c>
      <c r="M41" t="s">
        <v>126</v>
      </c>
    </row>
    <row r="42" spans="1:13" x14ac:dyDescent="0.3">
      <c r="A42" t="s">
        <v>157</v>
      </c>
      <c r="B42" t="s">
        <v>158</v>
      </c>
      <c r="C42" t="s">
        <v>50</v>
      </c>
      <c r="D42" t="s">
        <v>159</v>
      </c>
      <c r="E42" t="s">
        <v>42</v>
      </c>
      <c r="F42" t="s">
        <v>53</v>
      </c>
      <c r="G42" t="s">
        <v>28</v>
      </c>
      <c r="H42" t="s">
        <v>29</v>
      </c>
      <c r="I42">
        <v>10143</v>
      </c>
      <c r="J42">
        <v>3</v>
      </c>
      <c r="K42">
        <v>4</v>
      </c>
      <c r="L42">
        <v>6</v>
      </c>
      <c r="M42" t="s">
        <v>47</v>
      </c>
    </row>
    <row r="43" spans="1:13" x14ac:dyDescent="0.3">
      <c r="A43" t="s">
        <v>160</v>
      </c>
      <c r="B43" t="s">
        <v>161</v>
      </c>
      <c r="C43" t="s">
        <v>15</v>
      </c>
      <c r="D43" t="s">
        <v>116</v>
      </c>
      <c r="E43" t="s">
        <v>17</v>
      </c>
      <c r="F43" t="s">
        <v>100</v>
      </c>
      <c r="G43" t="s">
        <v>19</v>
      </c>
      <c r="H43" t="s">
        <v>20</v>
      </c>
      <c r="I43">
        <v>1016</v>
      </c>
      <c r="J43">
        <v>1</v>
      </c>
      <c r="K43">
        <v>4.9000000000000004</v>
      </c>
      <c r="L43">
        <v>4</v>
      </c>
      <c r="M43" t="s">
        <v>144</v>
      </c>
    </row>
    <row r="44" spans="1:13" x14ac:dyDescent="0.3">
      <c r="A44" t="s">
        <v>162</v>
      </c>
      <c r="B44" t="s">
        <v>163</v>
      </c>
      <c r="C44" t="s">
        <v>24</v>
      </c>
      <c r="D44" t="s">
        <v>51</v>
      </c>
      <c r="E44" t="s">
        <v>52</v>
      </c>
      <c r="F44" t="s">
        <v>53</v>
      </c>
      <c r="G44" t="s">
        <v>54</v>
      </c>
      <c r="H44" t="s">
        <v>36</v>
      </c>
      <c r="I44">
        <v>2284</v>
      </c>
      <c r="J44">
        <v>2</v>
      </c>
      <c r="K44">
        <v>3.5</v>
      </c>
      <c r="L44">
        <v>2</v>
      </c>
      <c r="M44" t="s">
        <v>119</v>
      </c>
    </row>
    <row r="45" spans="1:13" x14ac:dyDescent="0.3">
      <c r="A45" t="s">
        <v>164</v>
      </c>
      <c r="B45" t="s">
        <v>139</v>
      </c>
      <c r="C45" t="s">
        <v>45</v>
      </c>
      <c r="D45" t="s">
        <v>165</v>
      </c>
      <c r="E45" t="s">
        <v>35</v>
      </c>
      <c r="F45" t="s">
        <v>18</v>
      </c>
      <c r="G45" t="s">
        <v>54</v>
      </c>
      <c r="H45" t="s">
        <v>29</v>
      </c>
      <c r="I45">
        <v>87227</v>
      </c>
      <c r="J45">
        <v>7</v>
      </c>
      <c r="K45">
        <v>3.6</v>
      </c>
      <c r="L45">
        <v>5</v>
      </c>
      <c r="M45" t="s">
        <v>119</v>
      </c>
    </row>
    <row r="46" spans="1:13" x14ac:dyDescent="0.3">
      <c r="A46" t="s">
        <v>166</v>
      </c>
      <c r="B46" t="s">
        <v>167</v>
      </c>
      <c r="C46" t="s">
        <v>133</v>
      </c>
      <c r="D46" t="s">
        <v>69</v>
      </c>
      <c r="E46" t="s">
        <v>26</v>
      </c>
      <c r="F46" t="s">
        <v>53</v>
      </c>
      <c r="G46" t="s">
        <v>28</v>
      </c>
      <c r="H46" t="s">
        <v>20</v>
      </c>
      <c r="I46">
        <v>46092</v>
      </c>
      <c r="J46">
        <v>6</v>
      </c>
      <c r="K46">
        <v>4.7</v>
      </c>
      <c r="L46">
        <v>2</v>
      </c>
      <c r="M46" t="s">
        <v>119</v>
      </c>
    </row>
    <row r="47" spans="1:13" x14ac:dyDescent="0.3">
      <c r="A47" t="s">
        <v>168</v>
      </c>
      <c r="B47" t="s">
        <v>169</v>
      </c>
      <c r="C47" t="s">
        <v>170</v>
      </c>
      <c r="D47" t="s">
        <v>159</v>
      </c>
      <c r="E47" t="s">
        <v>42</v>
      </c>
      <c r="F47" t="s">
        <v>83</v>
      </c>
      <c r="G47" t="s">
        <v>54</v>
      </c>
      <c r="H47" t="s">
        <v>29</v>
      </c>
      <c r="I47">
        <v>22540</v>
      </c>
      <c r="J47">
        <v>5</v>
      </c>
      <c r="K47">
        <v>4.7</v>
      </c>
      <c r="L47">
        <v>5</v>
      </c>
      <c r="M47" t="s">
        <v>65</v>
      </c>
    </row>
    <row r="48" spans="1:13" x14ac:dyDescent="0.3">
      <c r="A48" t="s">
        <v>171</v>
      </c>
      <c r="B48" t="s">
        <v>172</v>
      </c>
      <c r="C48" t="s">
        <v>103</v>
      </c>
      <c r="D48" t="s">
        <v>159</v>
      </c>
      <c r="E48" t="s">
        <v>42</v>
      </c>
      <c r="F48" t="s">
        <v>53</v>
      </c>
      <c r="G48" t="s">
        <v>104</v>
      </c>
      <c r="H48" t="s">
        <v>29</v>
      </c>
      <c r="I48">
        <v>23534</v>
      </c>
      <c r="J48">
        <v>7</v>
      </c>
      <c r="K48">
        <v>4.0999999999999996</v>
      </c>
      <c r="L48">
        <v>6</v>
      </c>
      <c r="M48" t="s">
        <v>47</v>
      </c>
    </row>
    <row r="49" spans="1:13" x14ac:dyDescent="0.3">
      <c r="A49" t="s">
        <v>173</v>
      </c>
      <c r="B49" t="s">
        <v>174</v>
      </c>
      <c r="C49" t="s">
        <v>125</v>
      </c>
      <c r="D49" t="s">
        <v>25</v>
      </c>
      <c r="E49" t="s">
        <v>26</v>
      </c>
      <c r="F49" t="s">
        <v>60</v>
      </c>
      <c r="G49" t="s">
        <v>54</v>
      </c>
      <c r="H49" t="s">
        <v>36</v>
      </c>
      <c r="I49">
        <v>39584</v>
      </c>
      <c r="J49">
        <v>4</v>
      </c>
      <c r="K49">
        <v>4.5999999999999996</v>
      </c>
      <c r="L49">
        <v>8</v>
      </c>
      <c r="M49" t="s">
        <v>65</v>
      </c>
    </row>
    <row r="50" spans="1:13" x14ac:dyDescent="0.3">
      <c r="A50" t="s">
        <v>175</v>
      </c>
      <c r="B50" t="s">
        <v>176</v>
      </c>
      <c r="C50" t="s">
        <v>129</v>
      </c>
      <c r="D50" t="s">
        <v>34</v>
      </c>
      <c r="E50" t="s">
        <v>35</v>
      </c>
      <c r="F50" t="s">
        <v>27</v>
      </c>
      <c r="G50" t="s">
        <v>28</v>
      </c>
      <c r="H50" t="s">
        <v>29</v>
      </c>
      <c r="I50">
        <v>258124</v>
      </c>
      <c r="J50">
        <v>4</v>
      </c>
      <c r="K50">
        <v>3.8</v>
      </c>
      <c r="L50">
        <v>6</v>
      </c>
      <c r="M50" t="s">
        <v>55</v>
      </c>
    </row>
    <row r="51" spans="1:13" x14ac:dyDescent="0.3">
      <c r="A51" t="s">
        <v>177</v>
      </c>
      <c r="B51" t="s">
        <v>178</v>
      </c>
      <c r="C51" t="s">
        <v>179</v>
      </c>
      <c r="D51" t="s">
        <v>130</v>
      </c>
      <c r="E51" t="s">
        <v>35</v>
      </c>
      <c r="F51" t="s">
        <v>83</v>
      </c>
      <c r="G51" t="s">
        <v>28</v>
      </c>
      <c r="H51" t="s">
        <v>29</v>
      </c>
      <c r="I51">
        <v>87718</v>
      </c>
      <c r="J51">
        <v>2</v>
      </c>
      <c r="K51">
        <v>4.9000000000000004</v>
      </c>
      <c r="L51">
        <v>3</v>
      </c>
      <c r="M51" t="s">
        <v>37</v>
      </c>
    </row>
    <row r="52" spans="1:13" x14ac:dyDescent="0.3">
      <c r="A52" t="s">
        <v>180</v>
      </c>
      <c r="B52" t="s">
        <v>181</v>
      </c>
      <c r="C52" t="s">
        <v>103</v>
      </c>
      <c r="D52" t="s">
        <v>59</v>
      </c>
      <c r="E52" t="s">
        <v>26</v>
      </c>
      <c r="F52" t="s">
        <v>18</v>
      </c>
      <c r="G52" t="s">
        <v>54</v>
      </c>
      <c r="H52" t="s">
        <v>29</v>
      </c>
      <c r="I52">
        <v>23008</v>
      </c>
      <c r="J52">
        <v>4</v>
      </c>
      <c r="K52">
        <v>3.2</v>
      </c>
      <c r="L52">
        <v>3</v>
      </c>
      <c r="M52" t="s">
        <v>87</v>
      </c>
    </row>
    <row r="53" spans="1:13" x14ac:dyDescent="0.3">
      <c r="A53" t="s">
        <v>182</v>
      </c>
      <c r="B53" t="s">
        <v>183</v>
      </c>
      <c r="C53" t="s">
        <v>103</v>
      </c>
      <c r="D53" t="s">
        <v>51</v>
      </c>
      <c r="E53" t="s">
        <v>52</v>
      </c>
      <c r="F53" t="s">
        <v>60</v>
      </c>
      <c r="G53" t="s">
        <v>54</v>
      </c>
      <c r="H53" t="s">
        <v>36</v>
      </c>
      <c r="I53">
        <v>1414</v>
      </c>
      <c r="J53">
        <v>1</v>
      </c>
      <c r="K53">
        <v>3.8</v>
      </c>
      <c r="L53">
        <v>1</v>
      </c>
      <c r="M53" t="s">
        <v>87</v>
      </c>
    </row>
    <row r="54" spans="1:13" x14ac:dyDescent="0.3">
      <c r="A54" t="s">
        <v>184</v>
      </c>
      <c r="B54" t="s">
        <v>185</v>
      </c>
      <c r="C54" t="s">
        <v>78</v>
      </c>
      <c r="D54" t="s">
        <v>90</v>
      </c>
      <c r="E54" t="s">
        <v>42</v>
      </c>
      <c r="F54" t="s">
        <v>60</v>
      </c>
      <c r="G54" t="s">
        <v>19</v>
      </c>
      <c r="H54" t="s">
        <v>64</v>
      </c>
      <c r="I54">
        <v>3189</v>
      </c>
      <c r="J54">
        <v>1</v>
      </c>
      <c r="K54">
        <v>5</v>
      </c>
      <c r="L54">
        <v>2</v>
      </c>
      <c r="M54" t="s">
        <v>87</v>
      </c>
    </row>
    <row r="55" spans="1:13" x14ac:dyDescent="0.3">
      <c r="A55" t="s">
        <v>186</v>
      </c>
      <c r="B55" t="s">
        <v>187</v>
      </c>
      <c r="C55" t="s">
        <v>75</v>
      </c>
      <c r="D55" t="s">
        <v>90</v>
      </c>
      <c r="E55" t="s">
        <v>42</v>
      </c>
      <c r="F55" t="s">
        <v>83</v>
      </c>
      <c r="G55" t="s">
        <v>19</v>
      </c>
      <c r="H55" t="s">
        <v>20</v>
      </c>
      <c r="I55">
        <v>10584</v>
      </c>
      <c r="J55">
        <v>7</v>
      </c>
      <c r="K55">
        <v>4.3</v>
      </c>
      <c r="L55">
        <v>5</v>
      </c>
      <c r="M55" t="s">
        <v>126</v>
      </c>
    </row>
    <row r="56" spans="1:13" x14ac:dyDescent="0.3">
      <c r="A56" t="s">
        <v>188</v>
      </c>
      <c r="B56" t="s">
        <v>189</v>
      </c>
      <c r="C56" t="s">
        <v>40</v>
      </c>
      <c r="D56" t="s">
        <v>25</v>
      </c>
      <c r="E56" t="s">
        <v>26</v>
      </c>
      <c r="F56" t="s">
        <v>27</v>
      </c>
      <c r="G56" t="s">
        <v>28</v>
      </c>
      <c r="H56" t="s">
        <v>36</v>
      </c>
      <c r="I56">
        <v>5571</v>
      </c>
      <c r="J56">
        <v>1</v>
      </c>
      <c r="K56">
        <v>3.3</v>
      </c>
      <c r="L56">
        <v>5</v>
      </c>
      <c r="M56" t="s">
        <v>80</v>
      </c>
    </row>
    <row r="57" spans="1:13" x14ac:dyDescent="0.3">
      <c r="A57" t="s">
        <v>190</v>
      </c>
      <c r="B57" t="s">
        <v>191</v>
      </c>
      <c r="C57" t="s">
        <v>72</v>
      </c>
      <c r="D57" t="s">
        <v>109</v>
      </c>
      <c r="E57" t="s">
        <v>52</v>
      </c>
      <c r="F57" t="s">
        <v>18</v>
      </c>
      <c r="G57" t="s">
        <v>54</v>
      </c>
      <c r="H57" t="s">
        <v>20</v>
      </c>
      <c r="I57">
        <v>2880</v>
      </c>
      <c r="J57">
        <v>4</v>
      </c>
      <c r="K57">
        <v>3.5</v>
      </c>
      <c r="L57">
        <v>5</v>
      </c>
      <c r="M57" t="s">
        <v>192</v>
      </c>
    </row>
    <row r="58" spans="1:13" x14ac:dyDescent="0.3">
      <c r="A58" t="s">
        <v>193</v>
      </c>
      <c r="B58" t="s">
        <v>102</v>
      </c>
      <c r="C58" t="s">
        <v>146</v>
      </c>
      <c r="D58" t="s">
        <v>165</v>
      </c>
      <c r="E58" t="s">
        <v>35</v>
      </c>
      <c r="F58" t="s">
        <v>18</v>
      </c>
      <c r="G58" t="s">
        <v>54</v>
      </c>
      <c r="H58" t="s">
        <v>64</v>
      </c>
      <c r="I58">
        <v>319665</v>
      </c>
      <c r="J58">
        <v>5</v>
      </c>
      <c r="K58">
        <v>4.9000000000000004</v>
      </c>
      <c r="L58">
        <v>8</v>
      </c>
      <c r="M58" t="s">
        <v>30</v>
      </c>
    </row>
    <row r="59" spans="1:13" x14ac:dyDescent="0.3">
      <c r="A59" t="s">
        <v>194</v>
      </c>
      <c r="B59" t="s">
        <v>195</v>
      </c>
      <c r="C59" t="s">
        <v>58</v>
      </c>
      <c r="D59" t="s">
        <v>165</v>
      </c>
      <c r="E59" t="s">
        <v>35</v>
      </c>
      <c r="F59" t="s">
        <v>18</v>
      </c>
      <c r="G59" t="s">
        <v>19</v>
      </c>
      <c r="H59" t="s">
        <v>64</v>
      </c>
      <c r="I59">
        <v>77892</v>
      </c>
      <c r="J59">
        <v>1</v>
      </c>
      <c r="K59">
        <v>5</v>
      </c>
      <c r="L59">
        <v>5</v>
      </c>
      <c r="M59" t="s">
        <v>21</v>
      </c>
    </row>
    <row r="60" spans="1:13" x14ac:dyDescent="0.3">
      <c r="A60" t="s">
        <v>196</v>
      </c>
      <c r="B60" t="s">
        <v>197</v>
      </c>
      <c r="C60" t="s">
        <v>170</v>
      </c>
      <c r="D60" t="s">
        <v>69</v>
      </c>
      <c r="E60" t="s">
        <v>26</v>
      </c>
      <c r="F60" t="s">
        <v>27</v>
      </c>
      <c r="G60" t="s">
        <v>54</v>
      </c>
      <c r="H60" t="s">
        <v>20</v>
      </c>
      <c r="I60">
        <v>25500</v>
      </c>
      <c r="J60">
        <v>3</v>
      </c>
      <c r="K60">
        <v>3.8</v>
      </c>
      <c r="L60">
        <v>6</v>
      </c>
      <c r="M60" t="s">
        <v>21</v>
      </c>
    </row>
    <row r="61" spans="1:13" x14ac:dyDescent="0.3">
      <c r="A61" t="s">
        <v>198</v>
      </c>
      <c r="B61" t="s">
        <v>199</v>
      </c>
      <c r="C61" t="s">
        <v>170</v>
      </c>
      <c r="D61" t="s">
        <v>97</v>
      </c>
      <c r="E61" t="s">
        <v>35</v>
      </c>
      <c r="F61" t="s">
        <v>18</v>
      </c>
      <c r="G61" t="s">
        <v>28</v>
      </c>
      <c r="H61" t="s">
        <v>36</v>
      </c>
      <c r="I61">
        <v>596816</v>
      </c>
      <c r="J61">
        <v>8</v>
      </c>
      <c r="K61">
        <v>3.4</v>
      </c>
      <c r="L61">
        <v>5</v>
      </c>
      <c r="M61" t="s">
        <v>119</v>
      </c>
    </row>
    <row r="62" spans="1:13" x14ac:dyDescent="0.3">
      <c r="A62" t="s">
        <v>200</v>
      </c>
      <c r="B62" t="s">
        <v>201</v>
      </c>
      <c r="C62" t="s">
        <v>179</v>
      </c>
      <c r="D62" t="s">
        <v>69</v>
      </c>
      <c r="E62" t="s">
        <v>26</v>
      </c>
      <c r="F62" t="s">
        <v>53</v>
      </c>
      <c r="G62" t="s">
        <v>19</v>
      </c>
      <c r="H62" t="s">
        <v>29</v>
      </c>
      <c r="I62">
        <v>8967</v>
      </c>
      <c r="J62">
        <v>1</v>
      </c>
      <c r="K62">
        <v>4.3</v>
      </c>
      <c r="L62">
        <v>1</v>
      </c>
      <c r="M62" t="s">
        <v>55</v>
      </c>
    </row>
    <row r="63" spans="1:13" x14ac:dyDescent="0.3">
      <c r="A63" t="s">
        <v>202</v>
      </c>
      <c r="B63" t="s">
        <v>203</v>
      </c>
      <c r="C63" t="s">
        <v>75</v>
      </c>
      <c r="D63" t="s">
        <v>90</v>
      </c>
      <c r="E63" t="s">
        <v>42</v>
      </c>
      <c r="F63" t="s">
        <v>83</v>
      </c>
      <c r="G63" t="s">
        <v>54</v>
      </c>
      <c r="H63" t="s">
        <v>64</v>
      </c>
      <c r="I63">
        <v>3245</v>
      </c>
      <c r="J63">
        <v>1</v>
      </c>
      <c r="K63">
        <v>3.2</v>
      </c>
      <c r="L63">
        <v>7</v>
      </c>
      <c r="M63" t="s">
        <v>80</v>
      </c>
    </row>
    <row r="64" spans="1:13" x14ac:dyDescent="0.3">
      <c r="A64" t="s">
        <v>204</v>
      </c>
      <c r="B64" t="s">
        <v>205</v>
      </c>
      <c r="C64" t="s">
        <v>50</v>
      </c>
      <c r="D64" t="s">
        <v>86</v>
      </c>
      <c r="E64" t="s">
        <v>17</v>
      </c>
      <c r="F64" t="s">
        <v>83</v>
      </c>
      <c r="G64" t="s">
        <v>19</v>
      </c>
      <c r="H64" t="s">
        <v>36</v>
      </c>
      <c r="I64">
        <v>6710</v>
      </c>
      <c r="J64">
        <v>5</v>
      </c>
      <c r="K64">
        <v>3.6</v>
      </c>
      <c r="L64">
        <v>3</v>
      </c>
      <c r="M64" t="s">
        <v>65</v>
      </c>
    </row>
    <row r="65" spans="1:13" x14ac:dyDescent="0.3">
      <c r="A65" t="s">
        <v>206</v>
      </c>
      <c r="B65" t="s">
        <v>207</v>
      </c>
      <c r="C65" t="s">
        <v>72</v>
      </c>
      <c r="D65" t="s">
        <v>97</v>
      </c>
      <c r="E65" t="s">
        <v>35</v>
      </c>
      <c r="F65" t="s">
        <v>60</v>
      </c>
      <c r="G65" t="s">
        <v>28</v>
      </c>
      <c r="H65" t="s">
        <v>29</v>
      </c>
      <c r="I65">
        <v>208160</v>
      </c>
      <c r="J65">
        <v>5</v>
      </c>
      <c r="K65">
        <v>5</v>
      </c>
      <c r="L65">
        <v>8</v>
      </c>
      <c r="M65" t="s">
        <v>126</v>
      </c>
    </row>
    <row r="66" spans="1:13" x14ac:dyDescent="0.3">
      <c r="A66" t="s">
        <v>208</v>
      </c>
      <c r="B66" t="s">
        <v>209</v>
      </c>
      <c r="C66" t="s">
        <v>33</v>
      </c>
      <c r="D66" t="s">
        <v>165</v>
      </c>
      <c r="E66" t="s">
        <v>35</v>
      </c>
      <c r="F66" t="s">
        <v>53</v>
      </c>
      <c r="G66" t="s">
        <v>28</v>
      </c>
      <c r="H66" t="s">
        <v>64</v>
      </c>
      <c r="I66">
        <v>190589</v>
      </c>
      <c r="J66">
        <v>7</v>
      </c>
      <c r="K66">
        <v>3.9</v>
      </c>
      <c r="L66">
        <v>7</v>
      </c>
      <c r="M66" t="s">
        <v>30</v>
      </c>
    </row>
    <row r="67" spans="1:13" x14ac:dyDescent="0.3">
      <c r="A67" t="s">
        <v>210</v>
      </c>
      <c r="B67" t="s">
        <v>211</v>
      </c>
      <c r="C67" t="s">
        <v>68</v>
      </c>
      <c r="D67" t="s">
        <v>159</v>
      </c>
      <c r="E67" t="s">
        <v>42</v>
      </c>
      <c r="F67" t="s">
        <v>100</v>
      </c>
      <c r="G67" t="s">
        <v>28</v>
      </c>
      <c r="H67" t="s">
        <v>36</v>
      </c>
      <c r="I67">
        <v>3419</v>
      </c>
      <c r="J67">
        <v>1</v>
      </c>
      <c r="K67">
        <v>4.8</v>
      </c>
      <c r="L67">
        <v>8</v>
      </c>
      <c r="M67" t="s">
        <v>65</v>
      </c>
    </row>
    <row r="68" spans="1:13" x14ac:dyDescent="0.3">
      <c r="A68" t="s">
        <v>212</v>
      </c>
      <c r="B68" t="s">
        <v>213</v>
      </c>
      <c r="C68" t="s">
        <v>170</v>
      </c>
      <c r="D68" t="s">
        <v>51</v>
      </c>
      <c r="E68" t="s">
        <v>52</v>
      </c>
      <c r="F68" t="s">
        <v>27</v>
      </c>
      <c r="G68" t="s">
        <v>28</v>
      </c>
      <c r="H68" t="s">
        <v>29</v>
      </c>
      <c r="I68">
        <v>6519</v>
      </c>
      <c r="J68">
        <v>3</v>
      </c>
      <c r="K68">
        <v>4.4000000000000004</v>
      </c>
      <c r="L68">
        <v>2</v>
      </c>
      <c r="M68" t="s">
        <v>119</v>
      </c>
    </row>
    <row r="69" spans="1:13" x14ac:dyDescent="0.3">
      <c r="A69" t="s">
        <v>214</v>
      </c>
      <c r="B69" t="s">
        <v>215</v>
      </c>
      <c r="C69" t="s">
        <v>146</v>
      </c>
      <c r="D69" t="s">
        <v>41</v>
      </c>
      <c r="E69" t="s">
        <v>42</v>
      </c>
      <c r="F69" t="s">
        <v>83</v>
      </c>
      <c r="G69" t="s">
        <v>104</v>
      </c>
      <c r="H69" t="s">
        <v>36</v>
      </c>
      <c r="I69">
        <v>2880</v>
      </c>
      <c r="J69">
        <v>2</v>
      </c>
      <c r="K69">
        <v>5</v>
      </c>
      <c r="L69">
        <v>2</v>
      </c>
      <c r="M69" t="s">
        <v>192</v>
      </c>
    </row>
    <row r="70" spans="1:13" x14ac:dyDescent="0.3">
      <c r="A70" t="s">
        <v>216</v>
      </c>
      <c r="B70" t="s">
        <v>217</v>
      </c>
      <c r="C70" t="s">
        <v>24</v>
      </c>
      <c r="D70" t="s">
        <v>218</v>
      </c>
      <c r="E70" t="s">
        <v>17</v>
      </c>
      <c r="F70" t="s">
        <v>83</v>
      </c>
      <c r="G70" t="s">
        <v>54</v>
      </c>
      <c r="H70" t="s">
        <v>64</v>
      </c>
      <c r="I70">
        <v>5170</v>
      </c>
      <c r="J70">
        <v>5</v>
      </c>
      <c r="K70">
        <v>4.2</v>
      </c>
      <c r="L70">
        <v>3</v>
      </c>
      <c r="M70" t="s">
        <v>144</v>
      </c>
    </row>
    <row r="71" spans="1:13" x14ac:dyDescent="0.3">
      <c r="A71" t="s">
        <v>219</v>
      </c>
      <c r="B71" t="s">
        <v>220</v>
      </c>
      <c r="C71" t="s">
        <v>40</v>
      </c>
      <c r="D71" t="s">
        <v>79</v>
      </c>
      <c r="E71" t="s">
        <v>26</v>
      </c>
      <c r="F71" t="s">
        <v>27</v>
      </c>
      <c r="G71" t="s">
        <v>19</v>
      </c>
      <c r="H71" t="s">
        <v>36</v>
      </c>
      <c r="I71">
        <v>14949</v>
      </c>
      <c r="J71">
        <v>3</v>
      </c>
      <c r="K71">
        <v>4.4000000000000004</v>
      </c>
      <c r="L71">
        <v>8</v>
      </c>
      <c r="M71" t="s">
        <v>65</v>
      </c>
    </row>
    <row r="72" spans="1:13" x14ac:dyDescent="0.3">
      <c r="A72" t="s">
        <v>221</v>
      </c>
      <c r="B72" t="s">
        <v>222</v>
      </c>
      <c r="C72" t="s">
        <v>125</v>
      </c>
      <c r="D72" t="s">
        <v>46</v>
      </c>
      <c r="E72" t="s">
        <v>42</v>
      </c>
      <c r="F72" t="s">
        <v>18</v>
      </c>
      <c r="G72" t="s">
        <v>19</v>
      </c>
      <c r="H72" t="s">
        <v>64</v>
      </c>
      <c r="I72">
        <v>22210</v>
      </c>
      <c r="J72">
        <v>5</v>
      </c>
      <c r="K72">
        <v>3.6</v>
      </c>
      <c r="L72">
        <v>7</v>
      </c>
      <c r="M72" t="s">
        <v>30</v>
      </c>
    </row>
    <row r="73" spans="1:13" x14ac:dyDescent="0.3">
      <c r="A73" t="s">
        <v>223</v>
      </c>
      <c r="B73" t="s">
        <v>224</v>
      </c>
      <c r="C73" t="s">
        <v>45</v>
      </c>
      <c r="D73" t="s">
        <v>59</v>
      </c>
      <c r="E73" t="s">
        <v>26</v>
      </c>
      <c r="F73" t="s">
        <v>27</v>
      </c>
      <c r="G73" t="s">
        <v>28</v>
      </c>
      <c r="H73" t="s">
        <v>29</v>
      </c>
      <c r="I73">
        <v>26485</v>
      </c>
      <c r="J73">
        <v>5</v>
      </c>
      <c r="K73">
        <v>3.2</v>
      </c>
      <c r="L73">
        <v>1</v>
      </c>
      <c r="M73" t="s">
        <v>30</v>
      </c>
    </row>
    <row r="74" spans="1:13" x14ac:dyDescent="0.3">
      <c r="A74" t="s">
        <v>225</v>
      </c>
      <c r="B74" t="s">
        <v>226</v>
      </c>
      <c r="C74" t="s">
        <v>40</v>
      </c>
      <c r="D74" t="s">
        <v>109</v>
      </c>
      <c r="E74" t="s">
        <v>52</v>
      </c>
      <c r="F74" t="s">
        <v>60</v>
      </c>
      <c r="G74" t="s">
        <v>54</v>
      </c>
      <c r="H74" t="s">
        <v>29</v>
      </c>
      <c r="I74">
        <v>5104</v>
      </c>
      <c r="J74">
        <v>4</v>
      </c>
      <c r="K74">
        <v>4.8</v>
      </c>
      <c r="L74">
        <v>1</v>
      </c>
      <c r="M74" t="s">
        <v>37</v>
      </c>
    </row>
    <row r="75" spans="1:13" x14ac:dyDescent="0.3">
      <c r="A75" t="s">
        <v>227</v>
      </c>
      <c r="B75" t="s">
        <v>228</v>
      </c>
      <c r="C75" t="s">
        <v>112</v>
      </c>
      <c r="D75" t="s">
        <v>147</v>
      </c>
      <c r="E75" t="s">
        <v>52</v>
      </c>
      <c r="F75" t="s">
        <v>100</v>
      </c>
      <c r="G75" t="s">
        <v>104</v>
      </c>
      <c r="H75" t="s">
        <v>20</v>
      </c>
      <c r="I75">
        <v>5814</v>
      </c>
      <c r="J75">
        <v>6</v>
      </c>
      <c r="K75">
        <v>4.8</v>
      </c>
      <c r="L75">
        <v>6</v>
      </c>
      <c r="M75" t="s">
        <v>126</v>
      </c>
    </row>
    <row r="76" spans="1:13" x14ac:dyDescent="0.3">
      <c r="A76" t="s">
        <v>229</v>
      </c>
      <c r="B76" t="s">
        <v>228</v>
      </c>
      <c r="C76" t="s">
        <v>78</v>
      </c>
      <c r="D76" t="s">
        <v>97</v>
      </c>
      <c r="E76" t="s">
        <v>35</v>
      </c>
      <c r="F76" t="s">
        <v>53</v>
      </c>
      <c r="G76" t="s">
        <v>54</v>
      </c>
      <c r="H76" t="s">
        <v>64</v>
      </c>
      <c r="I76">
        <v>74214</v>
      </c>
      <c r="J76">
        <v>6</v>
      </c>
      <c r="K76">
        <v>4.7</v>
      </c>
      <c r="L76">
        <v>7</v>
      </c>
      <c r="M76" t="s">
        <v>126</v>
      </c>
    </row>
    <row r="77" spans="1:13" x14ac:dyDescent="0.3">
      <c r="A77" t="s">
        <v>230</v>
      </c>
      <c r="B77" t="s">
        <v>231</v>
      </c>
      <c r="C77" t="s">
        <v>68</v>
      </c>
      <c r="D77" t="s">
        <v>218</v>
      </c>
      <c r="E77" t="s">
        <v>17</v>
      </c>
      <c r="F77" t="s">
        <v>27</v>
      </c>
      <c r="G77" t="s">
        <v>19</v>
      </c>
      <c r="H77" t="s">
        <v>64</v>
      </c>
      <c r="I77">
        <v>2462</v>
      </c>
      <c r="J77">
        <v>2</v>
      </c>
      <c r="K77">
        <v>4.7</v>
      </c>
      <c r="L77">
        <v>6</v>
      </c>
      <c r="M77" t="s">
        <v>30</v>
      </c>
    </row>
    <row r="78" spans="1:13" x14ac:dyDescent="0.3">
      <c r="A78" t="s">
        <v>232</v>
      </c>
      <c r="B78" t="s">
        <v>233</v>
      </c>
      <c r="C78" t="s">
        <v>33</v>
      </c>
      <c r="D78" t="s">
        <v>218</v>
      </c>
      <c r="E78" t="s">
        <v>17</v>
      </c>
      <c r="F78" t="s">
        <v>18</v>
      </c>
      <c r="G78" t="s">
        <v>104</v>
      </c>
      <c r="H78" t="s">
        <v>64</v>
      </c>
      <c r="I78">
        <v>6504</v>
      </c>
      <c r="J78">
        <v>4</v>
      </c>
      <c r="K78">
        <v>3.9</v>
      </c>
      <c r="L78">
        <v>3</v>
      </c>
      <c r="M78" t="s">
        <v>192</v>
      </c>
    </row>
    <row r="79" spans="1:13" x14ac:dyDescent="0.3">
      <c r="A79" t="s">
        <v>234</v>
      </c>
      <c r="B79" t="s">
        <v>235</v>
      </c>
      <c r="C79" t="s">
        <v>133</v>
      </c>
      <c r="D79" t="s">
        <v>16</v>
      </c>
      <c r="E79" t="s">
        <v>17</v>
      </c>
      <c r="F79" t="s">
        <v>27</v>
      </c>
      <c r="G79" t="s">
        <v>54</v>
      </c>
      <c r="H79" t="s">
        <v>64</v>
      </c>
      <c r="I79">
        <v>3285</v>
      </c>
      <c r="J79">
        <v>3</v>
      </c>
      <c r="K79">
        <v>4.3</v>
      </c>
      <c r="L79">
        <v>3</v>
      </c>
      <c r="M79" t="s">
        <v>21</v>
      </c>
    </row>
    <row r="80" spans="1:13" x14ac:dyDescent="0.3">
      <c r="A80" t="s">
        <v>236</v>
      </c>
      <c r="B80" t="s">
        <v>237</v>
      </c>
      <c r="C80" t="s">
        <v>68</v>
      </c>
      <c r="D80" t="s">
        <v>69</v>
      </c>
      <c r="E80" t="s">
        <v>26</v>
      </c>
      <c r="F80" t="s">
        <v>27</v>
      </c>
      <c r="G80" t="s">
        <v>104</v>
      </c>
      <c r="H80" t="s">
        <v>29</v>
      </c>
      <c r="I80">
        <v>8085</v>
      </c>
      <c r="J80">
        <v>1</v>
      </c>
      <c r="K80">
        <v>4.9000000000000004</v>
      </c>
      <c r="L80">
        <v>6</v>
      </c>
      <c r="M80" t="s">
        <v>21</v>
      </c>
    </row>
    <row r="81" spans="1:13" x14ac:dyDescent="0.3">
      <c r="A81" t="s">
        <v>238</v>
      </c>
      <c r="B81" t="s">
        <v>115</v>
      </c>
      <c r="C81" t="s">
        <v>33</v>
      </c>
      <c r="D81" t="s">
        <v>116</v>
      </c>
      <c r="E81" t="s">
        <v>17</v>
      </c>
      <c r="F81" t="s">
        <v>53</v>
      </c>
      <c r="G81" t="s">
        <v>19</v>
      </c>
      <c r="H81" t="s">
        <v>20</v>
      </c>
      <c r="I81">
        <v>2200</v>
      </c>
      <c r="J81">
        <v>4</v>
      </c>
      <c r="K81">
        <v>4.4000000000000004</v>
      </c>
      <c r="L81">
        <v>1</v>
      </c>
      <c r="M81" t="s">
        <v>21</v>
      </c>
    </row>
    <row r="82" spans="1:13" x14ac:dyDescent="0.3">
      <c r="A82" t="s">
        <v>239</v>
      </c>
      <c r="B82" t="s">
        <v>108</v>
      </c>
      <c r="C82" t="s">
        <v>103</v>
      </c>
      <c r="D82" t="s">
        <v>79</v>
      </c>
      <c r="E82" t="s">
        <v>26</v>
      </c>
      <c r="F82" t="s">
        <v>83</v>
      </c>
      <c r="G82" t="s">
        <v>19</v>
      </c>
      <c r="H82" t="s">
        <v>29</v>
      </c>
      <c r="I82">
        <v>12868</v>
      </c>
      <c r="J82">
        <v>4</v>
      </c>
      <c r="K82">
        <v>4.5999999999999996</v>
      </c>
      <c r="L82">
        <v>1</v>
      </c>
      <c r="M82" t="s">
        <v>87</v>
      </c>
    </row>
    <row r="83" spans="1:13" x14ac:dyDescent="0.3">
      <c r="A83" t="s">
        <v>240</v>
      </c>
      <c r="B83" t="s">
        <v>167</v>
      </c>
      <c r="C83" t="s">
        <v>103</v>
      </c>
      <c r="D83" t="s">
        <v>147</v>
      </c>
      <c r="E83" t="s">
        <v>52</v>
      </c>
      <c r="F83" t="s">
        <v>18</v>
      </c>
      <c r="G83" t="s">
        <v>19</v>
      </c>
      <c r="H83" t="s">
        <v>64</v>
      </c>
      <c r="I83">
        <v>310</v>
      </c>
      <c r="J83">
        <v>1</v>
      </c>
      <c r="K83">
        <v>3.8</v>
      </c>
      <c r="L83">
        <v>3</v>
      </c>
      <c r="M83" t="s">
        <v>119</v>
      </c>
    </row>
    <row r="84" spans="1:13" x14ac:dyDescent="0.3">
      <c r="A84" t="s">
        <v>241</v>
      </c>
      <c r="B84" t="s">
        <v>242</v>
      </c>
      <c r="C84" t="s">
        <v>45</v>
      </c>
      <c r="D84" t="s">
        <v>25</v>
      </c>
      <c r="E84" t="s">
        <v>26</v>
      </c>
      <c r="F84" t="s">
        <v>18</v>
      </c>
      <c r="G84" t="s">
        <v>104</v>
      </c>
      <c r="H84" t="s">
        <v>64</v>
      </c>
      <c r="I84">
        <v>20688</v>
      </c>
      <c r="J84">
        <v>8</v>
      </c>
      <c r="K84">
        <v>4</v>
      </c>
      <c r="L84">
        <v>4</v>
      </c>
      <c r="M84" t="s">
        <v>87</v>
      </c>
    </row>
    <row r="85" spans="1:13" x14ac:dyDescent="0.3">
      <c r="A85" t="s">
        <v>243</v>
      </c>
      <c r="B85" t="s">
        <v>244</v>
      </c>
      <c r="C85" t="s">
        <v>45</v>
      </c>
      <c r="D85" t="s">
        <v>16</v>
      </c>
      <c r="E85" t="s">
        <v>17</v>
      </c>
      <c r="F85" t="s">
        <v>83</v>
      </c>
      <c r="G85" t="s">
        <v>54</v>
      </c>
      <c r="H85" t="s">
        <v>20</v>
      </c>
      <c r="I85">
        <v>8211</v>
      </c>
      <c r="J85">
        <v>7</v>
      </c>
      <c r="K85">
        <v>4.8</v>
      </c>
      <c r="L85">
        <v>6</v>
      </c>
      <c r="M85" t="s">
        <v>65</v>
      </c>
    </row>
    <row r="86" spans="1:13" x14ac:dyDescent="0.3">
      <c r="A86" t="s">
        <v>245</v>
      </c>
      <c r="B86" t="s">
        <v>246</v>
      </c>
      <c r="C86" t="s">
        <v>68</v>
      </c>
      <c r="D86" t="s">
        <v>165</v>
      </c>
      <c r="E86" t="s">
        <v>35</v>
      </c>
      <c r="F86" t="s">
        <v>27</v>
      </c>
      <c r="G86" t="s">
        <v>19</v>
      </c>
      <c r="H86" t="s">
        <v>64</v>
      </c>
      <c r="I86">
        <v>246912</v>
      </c>
      <c r="J86">
        <v>6</v>
      </c>
      <c r="K86">
        <v>4.3</v>
      </c>
      <c r="L86">
        <v>2</v>
      </c>
      <c r="M86" t="s">
        <v>192</v>
      </c>
    </row>
    <row r="87" spans="1:13" x14ac:dyDescent="0.3">
      <c r="A87" t="s">
        <v>247</v>
      </c>
      <c r="B87" t="s">
        <v>201</v>
      </c>
      <c r="C87" t="s">
        <v>129</v>
      </c>
      <c r="D87" t="s">
        <v>159</v>
      </c>
      <c r="E87" t="s">
        <v>42</v>
      </c>
      <c r="F87" t="s">
        <v>83</v>
      </c>
      <c r="G87" t="s">
        <v>28</v>
      </c>
      <c r="H87" t="s">
        <v>36</v>
      </c>
      <c r="I87">
        <v>8868</v>
      </c>
      <c r="J87">
        <v>6</v>
      </c>
      <c r="K87">
        <v>4</v>
      </c>
      <c r="L87">
        <v>5</v>
      </c>
      <c r="M87" t="s">
        <v>55</v>
      </c>
    </row>
    <row r="88" spans="1:13" x14ac:dyDescent="0.3">
      <c r="A88" t="s">
        <v>248</v>
      </c>
      <c r="B88" t="s">
        <v>94</v>
      </c>
      <c r="C88" t="s">
        <v>68</v>
      </c>
      <c r="D88" t="s">
        <v>16</v>
      </c>
      <c r="E88" t="s">
        <v>17</v>
      </c>
      <c r="F88" t="s">
        <v>60</v>
      </c>
      <c r="G88" t="s">
        <v>104</v>
      </c>
      <c r="H88" t="s">
        <v>64</v>
      </c>
      <c r="I88">
        <v>3479</v>
      </c>
      <c r="J88">
        <v>7</v>
      </c>
      <c r="K88">
        <v>4.3</v>
      </c>
      <c r="L88">
        <v>6</v>
      </c>
      <c r="M88" t="s">
        <v>87</v>
      </c>
    </row>
    <row r="89" spans="1:13" x14ac:dyDescent="0.3">
      <c r="A89" t="s">
        <v>249</v>
      </c>
      <c r="B89" t="s">
        <v>250</v>
      </c>
      <c r="C89" t="s">
        <v>122</v>
      </c>
      <c r="D89" t="s">
        <v>218</v>
      </c>
      <c r="E89" t="s">
        <v>17</v>
      </c>
      <c r="F89" t="s">
        <v>18</v>
      </c>
      <c r="G89" t="s">
        <v>104</v>
      </c>
      <c r="H89" t="s">
        <v>29</v>
      </c>
      <c r="I89">
        <v>5100</v>
      </c>
      <c r="J89">
        <v>5</v>
      </c>
      <c r="K89">
        <v>3.5</v>
      </c>
      <c r="L89">
        <v>8</v>
      </c>
      <c r="M89" t="s">
        <v>192</v>
      </c>
    </row>
    <row r="90" spans="1:13" x14ac:dyDescent="0.3">
      <c r="A90" t="s">
        <v>251</v>
      </c>
      <c r="B90" t="s">
        <v>252</v>
      </c>
      <c r="C90" t="s">
        <v>170</v>
      </c>
      <c r="D90" t="s">
        <v>218</v>
      </c>
      <c r="E90" t="s">
        <v>17</v>
      </c>
      <c r="F90" t="s">
        <v>53</v>
      </c>
      <c r="G90" t="s">
        <v>54</v>
      </c>
      <c r="H90" t="s">
        <v>20</v>
      </c>
      <c r="I90">
        <v>4712</v>
      </c>
      <c r="J90">
        <v>4</v>
      </c>
      <c r="K90">
        <v>3.5</v>
      </c>
      <c r="L90">
        <v>5</v>
      </c>
      <c r="M90" t="s">
        <v>30</v>
      </c>
    </row>
    <row r="91" spans="1:13" x14ac:dyDescent="0.3">
      <c r="A91" t="s">
        <v>253</v>
      </c>
      <c r="B91" t="s">
        <v>108</v>
      </c>
      <c r="C91" t="s">
        <v>170</v>
      </c>
      <c r="D91" t="s">
        <v>51</v>
      </c>
      <c r="E91" t="s">
        <v>52</v>
      </c>
      <c r="F91" t="s">
        <v>83</v>
      </c>
      <c r="G91" t="s">
        <v>104</v>
      </c>
      <c r="H91" t="s">
        <v>29</v>
      </c>
      <c r="I91">
        <v>1125</v>
      </c>
      <c r="J91">
        <v>3</v>
      </c>
      <c r="K91">
        <v>3.9</v>
      </c>
      <c r="L91">
        <v>8</v>
      </c>
      <c r="M91" t="s">
        <v>87</v>
      </c>
    </row>
    <row r="92" spans="1:13" x14ac:dyDescent="0.3">
      <c r="A92" t="s">
        <v>254</v>
      </c>
      <c r="B92" t="s">
        <v>255</v>
      </c>
      <c r="C92" t="s">
        <v>146</v>
      </c>
      <c r="D92" t="s">
        <v>165</v>
      </c>
      <c r="E92" t="s">
        <v>35</v>
      </c>
      <c r="F92" t="s">
        <v>27</v>
      </c>
      <c r="G92" t="s">
        <v>28</v>
      </c>
      <c r="H92" t="s">
        <v>64</v>
      </c>
      <c r="I92">
        <v>46264</v>
      </c>
      <c r="J92">
        <v>2</v>
      </c>
      <c r="K92">
        <v>4.4000000000000004</v>
      </c>
      <c r="L92">
        <v>5</v>
      </c>
      <c r="M92" t="s">
        <v>192</v>
      </c>
    </row>
    <row r="93" spans="1:13" x14ac:dyDescent="0.3">
      <c r="A93" t="s">
        <v>256</v>
      </c>
      <c r="B93" t="s">
        <v>257</v>
      </c>
      <c r="C93" t="s">
        <v>112</v>
      </c>
      <c r="D93" t="s">
        <v>69</v>
      </c>
      <c r="E93" t="s">
        <v>26</v>
      </c>
      <c r="F93" t="s">
        <v>27</v>
      </c>
      <c r="G93" t="s">
        <v>104</v>
      </c>
      <c r="H93" t="s">
        <v>36</v>
      </c>
      <c r="I93">
        <v>39215</v>
      </c>
      <c r="J93">
        <v>5</v>
      </c>
      <c r="K93">
        <v>3.4</v>
      </c>
      <c r="L93">
        <v>8</v>
      </c>
      <c r="M93" t="s">
        <v>47</v>
      </c>
    </row>
    <row r="94" spans="1:13" x14ac:dyDescent="0.3">
      <c r="A94" t="s">
        <v>258</v>
      </c>
      <c r="B94" t="s">
        <v>259</v>
      </c>
      <c r="C94" t="s">
        <v>170</v>
      </c>
      <c r="D94" t="s">
        <v>51</v>
      </c>
      <c r="E94" t="s">
        <v>52</v>
      </c>
      <c r="F94" t="s">
        <v>18</v>
      </c>
      <c r="G94" t="s">
        <v>54</v>
      </c>
      <c r="H94" t="s">
        <v>64</v>
      </c>
      <c r="I94">
        <v>1087</v>
      </c>
      <c r="J94">
        <v>1</v>
      </c>
      <c r="K94">
        <v>4.5999999999999996</v>
      </c>
      <c r="L94">
        <v>5</v>
      </c>
      <c r="M94" t="s">
        <v>192</v>
      </c>
    </row>
    <row r="95" spans="1:13" x14ac:dyDescent="0.3">
      <c r="A95" t="s">
        <v>260</v>
      </c>
      <c r="B95" t="s">
        <v>261</v>
      </c>
      <c r="C95" t="s">
        <v>50</v>
      </c>
      <c r="D95" t="s">
        <v>159</v>
      </c>
      <c r="E95" t="s">
        <v>42</v>
      </c>
      <c r="F95" t="s">
        <v>27</v>
      </c>
      <c r="G95" t="s">
        <v>54</v>
      </c>
      <c r="H95" t="s">
        <v>64</v>
      </c>
      <c r="I95">
        <v>36939</v>
      </c>
      <c r="J95">
        <v>7</v>
      </c>
      <c r="K95">
        <v>4.7</v>
      </c>
      <c r="L95">
        <v>2</v>
      </c>
      <c r="M95" t="s">
        <v>80</v>
      </c>
    </row>
    <row r="96" spans="1:13" x14ac:dyDescent="0.3">
      <c r="A96" t="s">
        <v>262</v>
      </c>
      <c r="B96" t="s">
        <v>263</v>
      </c>
      <c r="C96" t="s">
        <v>50</v>
      </c>
      <c r="D96" t="s">
        <v>116</v>
      </c>
      <c r="E96" t="s">
        <v>17</v>
      </c>
      <c r="F96" t="s">
        <v>18</v>
      </c>
      <c r="G96" t="s">
        <v>104</v>
      </c>
      <c r="H96" t="s">
        <v>20</v>
      </c>
      <c r="I96">
        <v>8874</v>
      </c>
      <c r="J96">
        <v>6</v>
      </c>
      <c r="K96">
        <v>4</v>
      </c>
      <c r="L96">
        <v>2</v>
      </c>
      <c r="M96" t="s">
        <v>87</v>
      </c>
    </row>
    <row r="97" spans="1:13" x14ac:dyDescent="0.3">
      <c r="A97" t="s">
        <v>264</v>
      </c>
      <c r="B97" t="s">
        <v>118</v>
      </c>
      <c r="C97" t="s">
        <v>50</v>
      </c>
      <c r="D97" t="s">
        <v>69</v>
      </c>
      <c r="E97" t="s">
        <v>26</v>
      </c>
      <c r="F97" t="s">
        <v>53</v>
      </c>
      <c r="G97" t="s">
        <v>104</v>
      </c>
      <c r="H97" t="s">
        <v>20</v>
      </c>
      <c r="I97">
        <v>47628</v>
      </c>
      <c r="J97">
        <v>6</v>
      </c>
      <c r="K97">
        <v>4.3</v>
      </c>
      <c r="L97">
        <v>2</v>
      </c>
      <c r="M97" t="s">
        <v>119</v>
      </c>
    </row>
    <row r="98" spans="1:13" x14ac:dyDescent="0.3">
      <c r="A98" t="s">
        <v>265</v>
      </c>
      <c r="B98" t="s">
        <v>263</v>
      </c>
      <c r="C98" t="s">
        <v>122</v>
      </c>
      <c r="D98" t="s">
        <v>34</v>
      </c>
      <c r="E98" t="s">
        <v>35</v>
      </c>
      <c r="F98" t="s">
        <v>18</v>
      </c>
      <c r="G98" t="s">
        <v>19</v>
      </c>
      <c r="H98" t="s">
        <v>29</v>
      </c>
      <c r="I98">
        <v>55830</v>
      </c>
      <c r="J98">
        <v>2</v>
      </c>
      <c r="K98">
        <v>4.5</v>
      </c>
      <c r="L98">
        <v>3</v>
      </c>
      <c r="M98" t="s">
        <v>87</v>
      </c>
    </row>
    <row r="99" spans="1:13" x14ac:dyDescent="0.3">
      <c r="A99" t="s">
        <v>266</v>
      </c>
      <c r="B99" t="s">
        <v>267</v>
      </c>
      <c r="C99" t="s">
        <v>58</v>
      </c>
      <c r="D99" t="s">
        <v>63</v>
      </c>
      <c r="E99" t="s">
        <v>52</v>
      </c>
      <c r="F99" t="s">
        <v>27</v>
      </c>
      <c r="G99" t="s">
        <v>104</v>
      </c>
      <c r="H99" t="s">
        <v>29</v>
      </c>
      <c r="I99">
        <v>1674</v>
      </c>
      <c r="J99">
        <v>3</v>
      </c>
      <c r="K99">
        <v>4</v>
      </c>
      <c r="L99">
        <v>8</v>
      </c>
      <c r="M99" t="s">
        <v>192</v>
      </c>
    </row>
    <row r="100" spans="1:13" x14ac:dyDescent="0.3">
      <c r="A100" t="s">
        <v>268</v>
      </c>
      <c r="B100" t="s">
        <v>85</v>
      </c>
      <c r="C100" t="s">
        <v>40</v>
      </c>
      <c r="D100" t="s">
        <v>51</v>
      </c>
      <c r="E100" t="s">
        <v>52</v>
      </c>
      <c r="F100" t="s">
        <v>60</v>
      </c>
      <c r="G100" t="s">
        <v>28</v>
      </c>
      <c r="H100" t="s">
        <v>36</v>
      </c>
      <c r="I100">
        <v>11920</v>
      </c>
      <c r="J100">
        <v>8</v>
      </c>
      <c r="K100">
        <v>3.8</v>
      </c>
      <c r="L100">
        <v>2</v>
      </c>
      <c r="M100" t="s">
        <v>87</v>
      </c>
    </row>
    <row r="101" spans="1:13" x14ac:dyDescent="0.3">
      <c r="A101" t="s">
        <v>269</v>
      </c>
      <c r="B101" t="s">
        <v>96</v>
      </c>
      <c r="C101" t="s">
        <v>146</v>
      </c>
      <c r="D101" t="s">
        <v>218</v>
      </c>
      <c r="E101" t="s">
        <v>17</v>
      </c>
      <c r="F101" t="s">
        <v>100</v>
      </c>
      <c r="G101" t="s">
        <v>19</v>
      </c>
      <c r="H101" t="s">
        <v>29</v>
      </c>
      <c r="I101">
        <v>3240</v>
      </c>
      <c r="J101">
        <v>2</v>
      </c>
      <c r="K101">
        <v>3.9</v>
      </c>
      <c r="L101">
        <v>1</v>
      </c>
      <c r="M101" t="s">
        <v>21</v>
      </c>
    </row>
    <row r="102" spans="1:13" x14ac:dyDescent="0.3">
      <c r="A102" t="s">
        <v>270</v>
      </c>
      <c r="B102" t="s">
        <v>271</v>
      </c>
      <c r="C102" t="s">
        <v>33</v>
      </c>
      <c r="D102" t="s">
        <v>69</v>
      </c>
      <c r="E102" t="s">
        <v>26</v>
      </c>
      <c r="F102" t="s">
        <v>83</v>
      </c>
      <c r="G102" t="s">
        <v>28</v>
      </c>
      <c r="H102" t="s">
        <v>64</v>
      </c>
      <c r="I102">
        <v>6543</v>
      </c>
      <c r="J102">
        <v>3</v>
      </c>
      <c r="K102">
        <v>4.0999999999999996</v>
      </c>
      <c r="L102">
        <v>3</v>
      </c>
      <c r="M102" t="s">
        <v>65</v>
      </c>
    </row>
    <row r="103" spans="1:13" x14ac:dyDescent="0.3">
      <c r="A103" t="s">
        <v>272</v>
      </c>
      <c r="B103" t="s">
        <v>273</v>
      </c>
      <c r="C103" t="s">
        <v>75</v>
      </c>
      <c r="D103" t="s">
        <v>79</v>
      </c>
      <c r="E103" t="s">
        <v>26</v>
      </c>
      <c r="F103" t="s">
        <v>53</v>
      </c>
      <c r="G103" t="s">
        <v>54</v>
      </c>
      <c r="H103" t="s">
        <v>64</v>
      </c>
      <c r="I103">
        <v>71538</v>
      </c>
      <c r="J103">
        <v>6</v>
      </c>
      <c r="K103">
        <v>4.3</v>
      </c>
      <c r="L103">
        <v>6</v>
      </c>
      <c r="M103" t="s">
        <v>55</v>
      </c>
    </row>
    <row r="104" spans="1:13" x14ac:dyDescent="0.3">
      <c r="A104" t="s">
        <v>274</v>
      </c>
      <c r="B104" t="s">
        <v>275</v>
      </c>
      <c r="C104" t="s">
        <v>72</v>
      </c>
      <c r="D104" t="s">
        <v>130</v>
      </c>
      <c r="E104" t="s">
        <v>35</v>
      </c>
      <c r="F104" t="s">
        <v>100</v>
      </c>
      <c r="G104" t="s">
        <v>54</v>
      </c>
      <c r="H104" t="s">
        <v>29</v>
      </c>
      <c r="I104">
        <v>236640</v>
      </c>
      <c r="J104">
        <v>3</v>
      </c>
      <c r="K104">
        <v>3.8</v>
      </c>
      <c r="L104">
        <v>7</v>
      </c>
      <c r="M104" t="s">
        <v>119</v>
      </c>
    </row>
    <row r="105" spans="1:13" x14ac:dyDescent="0.3">
      <c r="A105" t="s">
        <v>276</v>
      </c>
      <c r="B105" t="s">
        <v>277</v>
      </c>
      <c r="C105" t="s">
        <v>15</v>
      </c>
      <c r="D105" t="s">
        <v>69</v>
      </c>
      <c r="E105" t="s">
        <v>26</v>
      </c>
      <c r="F105" t="s">
        <v>53</v>
      </c>
      <c r="G105" t="s">
        <v>104</v>
      </c>
      <c r="H105" t="s">
        <v>20</v>
      </c>
      <c r="I105">
        <v>70704</v>
      </c>
      <c r="J105">
        <v>6</v>
      </c>
      <c r="K105">
        <v>4</v>
      </c>
      <c r="L105">
        <v>6</v>
      </c>
      <c r="M105" t="s">
        <v>192</v>
      </c>
    </row>
    <row r="106" spans="1:13" x14ac:dyDescent="0.3">
      <c r="A106" t="s">
        <v>278</v>
      </c>
      <c r="B106" t="s">
        <v>279</v>
      </c>
      <c r="C106" t="s">
        <v>112</v>
      </c>
      <c r="D106" t="s">
        <v>109</v>
      </c>
      <c r="E106" t="s">
        <v>52</v>
      </c>
      <c r="F106" t="s">
        <v>100</v>
      </c>
      <c r="G106" t="s">
        <v>54</v>
      </c>
      <c r="H106" t="s">
        <v>29</v>
      </c>
      <c r="I106">
        <v>3252</v>
      </c>
      <c r="J106">
        <v>4</v>
      </c>
      <c r="K106">
        <v>4.7</v>
      </c>
      <c r="L106">
        <v>2</v>
      </c>
      <c r="M106" t="s">
        <v>65</v>
      </c>
    </row>
    <row r="107" spans="1:13" x14ac:dyDescent="0.3">
      <c r="A107" t="s">
        <v>280</v>
      </c>
      <c r="B107" t="s">
        <v>255</v>
      </c>
      <c r="C107" t="s">
        <v>133</v>
      </c>
      <c r="D107" t="s">
        <v>79</v>
      </c>
      <c r="E107" t="s">
        <v>26</v>
      </c>
      <c r="F107" t="s">
        <v>53</v>
      </c>
      <c r="G107" t="s">
        <v>19</v>
      </c>
      <c r="H107" t="s">
        <v>64</v>
      </c>
      <c r="I107">
        <v>24584</v>
      </c>
      <c r="J107">
        <v>7</v>
      </c>
      <c r="K107">
        <v>4.5</v>
      </c>
      <c r="L107">
        <v>1</v>
      </c>
      <c r="M107" t="s">
        <v>192</v>
      </c>
    </row>
    <row r="108" spans="1:13" x14ac:dyDescent="0.3">
      <c r="A108" t="s">
        <v>281</v>
      </c>
      <c r="B108" t="s">
        <v>282</v>
      </c>
      <c r="C108" t="s">
        <v>146</v>
      </c>
      <c r="D108" t="s">
        <v>59</v>
      </c>
      <c r="E108" t="s">
        <v>26</v>
      </c>
      <c r="F108" t="s">
        <v>53</v>
      </c>
      <c r="G108" t="s">
        <v>28</v>
      </c>
      <c r="H108" t="s">
        <v>64</v>
      </c>
      <c r="I108">
        <v>15912</v>
      </c>
      <c r="J108">
        <v>4</v>
      </c>
      <c r="K108">
        <v>3.9</v>
      </c>
      <c r="L108">
        <v>8</v>
      </c>
      <c r="M108" t="s">
        <v>47</v>
      </c>
    </row>
    <row r="109" spans="1:13" x14ac:dyDescent="0.3">
      <c r="A109" t="s">
        <v>283</v>
      </c>
      <c r="B109" t="s">
        <v>284</v>
      </c>
      <c r="C109" t="s">
        <v>40</v>
      </c>
      <c r="D109" t="s">
        <v>63</v>
      </c>
      <c r="E109" t="s">
        <v>52</v>
      </c>
      <c r="F109" t="s">
        <v>18</v>
      </c>
      <c r="G109" t="s">
        <v>19</v>
      </c>
      <c r="H109" t="s">
        <v>29</v>
      </c>
      <c r="I109">
        <v>1389</v>
      </c>
      <c r="J109">
        <v>3</v>
      </c>
      <c r="K109">
        <v>4.9000000000000004</v>
      </c>
      <c r="L109">
        <v>2</v>
      </c>
      <c r="M109" t="s">
        <v>192</v>
      </c>
    </row>
    <row r="110" spans="1:13" x14ac:dyDescent="0.3">
      <c r="A110" t="s">
        <v>285</v>
      </c>
      <c r="B110" t="s">
        <v>286</v>
      </c>
      <c r="C110" t="s">
        <v>122</v>
      </c>
      <c r="D110" t="s">
        <v>159</v>
      </c>
      <c r="E110" t="s">
        <v>42</v>
      </c>
      <c r="F110" t="s">
        <v>60</v>
      </c>
      <c r="G110" t="s">
        <v>54</v>
      </c>
      <c r="H110" t="s">
        <v>29</v>
      </c>
      <c r="I110">
        <v>1836</v>
      </c>
      <c r="J110">
        <v>2</v>
      </c>
      <c r="K110">
        <v>3.3</v>
      </c>
      <c r="L110">
        <v>6</v>
      </c>
      <c r="M110" t="s">
        <v>47</v>
      </c>
    </row>
    <row r="111" spans="1:13" x14ac:dyDescent="0.3">
      <c r="A111" t="s">
        <v>287</v>
      </c>
      <c r="B111" t="s">
        <v>288</v>
      </c>
      <c r="C111" t="s">
        <v>72</v>
      </c>
      <c r="D111" t="s">
        <v>147</v>
      </c>
      <c r="E111" t="s">
        <v>52</v>
      </c>
      <c r="F111" t="s">
        <v>27</v>
      </c>
      <c r="G111" t="s">
        <v>28</v>
      </c>
      <c r="H111" t="s">
        <v>64</v>
      </c>
      <c r="I111">
        <v>3246</v>
      </c>
      <c r="J111">
        <v>2</v>
      </c>
      <c r="K111">
        <v>3.7</v>
      </c>
      <c r="L111">
        <v>8</v>
      </c>
      <c r="M111" t="s">
        <v>126</v>
      </c>
    </row>
    <row r="112" spans="1:13" x14ac:dyDescent="0.3">
      <c r="A112" t="s">
        <v>289</v>
      </c>
      <c r="B112" t="s">
        <v>290</v>
      </c>
      <c r="C112" t="s">
        <v>40</v>
      </c>
      <c r="D112" t="s">
        <v>25</v>
      </c>
      <c r="E112" t="s">
        <v>26</v>
      </c>
      <c r="F112" t="s">
        <v>83</v>
      </c>
      <c r="G112" t="s">
        <v>104</v>
      </c>
      <c r="H112" t="s">
        <v>36</v>
      </c>
      <c r="I112">
        <v>10775</v>
      </c>
      <c r="J112">
        <v>1</v>
      </c>
      <c r="K112">
        <v>4.0999999999999996</v>
      </c>
      <c r="L112">
        <v>2</v>
      </c>
      <c r="M112" t="s">
        <v>87</v>
      </c>
    </row>
    <row r="113" spans="1:13" x14ac:dyDescent="0.3">
      <c r="A113" t="s">
        <v>291</v>
      </c>
      <c r="B113" t="s">
        <v>292</v>
      </c>
      <c r="C113" t="s">
        <v>72</v>
      </c>
      <c r="D113" t="s">
        <v>86</v>
      </c>
      <c r="E113" t="s">
        <v>17</v>
      </c>
      <c r="F113" t="s">
        <v>53</v>
      </c>
      <c r="G113" t="s">
        <v>28</v>
      </c>
      <c r="H113" t="s">
        <v>36</v>
      </c>
      <c r="I113">
        <v>3424</v>
      </c>
      <c r="J113">
        <v>8</v>
      </c>
      <c r="K113">
        <v>3.2</v>
      </c>
      <c r="L113">
        <v>4</v>
      </c>
      <c r="M113" t="s">
        <v>47</v>
      </c>
    </row>
    <row r="114" spans="1:13" x14ac:dyDescent="0.3">
      <c r="A114" t="s">
        <v>293</v>
      </c>
      <c r="B114" t="s">
        <v>294</v>
      </c>
      <c r="C114" t="s">
        <v>50</v>
      </c>
      <c r="D114" t="s">
        <v>59</v>
      </c>
      <c r="E114" t="s">
        <v>26</v>
      </c>
      <c r="F114" t="s">
        <v>60</v>
      </c>
      <c r="G114" t="s">
        <v>54</v>
      </c>
      <c r="H114" t="s">
        <v>64</v>
      </c>
      <c r="I114">
        <v>13356</v>
      </c>
      <c r="J114">
        <v>7</v>
      </c>
      <c r="K114">
        <v>4.9000000000000004</v>
      </c>
      <c r="L114">
        <v>1</v>
      </c>
      <c r="M114" t="s">
        <v>21</v>
      </c>
    </row>
    <row r="115" spans="1:13" x14ac:dyDescent="0.3">
      <c r="A115" t="s">
        <v>295</v>
      </c>
      <c r="B115" t="s">
        <v>296</v>
      </c>
      <c r="C115" t="s">
        <v>72</v>
      </c>
      <c r="D115" t="s">
        <v>130</v>
      </c>
      <c r="E115" t="s">
        <v>35</v>
      </c>
      <c r="F115" t="s">
        <v>18</v>
      </c>
      <c r="G115" t="s">
        <v>104</v>
      </c>
      <c r="H115" t="s">
        <v>29</v>
      </c>
      <c r="I115">
        <v>204624</v>
      </c>
      <c r="J115">
        <v>6</v>
      </c>
      <c r="K115">
        <v>4.5999999999999996</v>
      </c>
      <c r="L115">
        <v>6</v>
      </c>
      <c r="M115" t="s">
        <v>144</v>
      </c>
    </row>
    <row r="116" spans="1:13" x14ac:dyDescent="0.3">
      <c r="A116" t="s">
        <v>297</v>
      </c>
      <c r="B116" t="s">
        <v>298</v>
      </c>
      <c r="C116" t="s">
        <v>33</v>
      </c>
      <c r="D116" t="s">
        <v>51</v>
      </c>
      <c r="E116" t="s">
        <v>52</v>
      </c>
      <c r="F116" t="s">
        <v>83</v>
      </c>
      <c r="G116" t="s">
        <v>54</v>
      </c>
      <c r="H116" t="s">
        <v>29</v>
      </c>
      <c r="I116">
        <v>7968</v>
      </c>
      <c r="J116">
        <v>8</v>
      </c>
      <c r="K116">
        <v>3.3</v>
      </c>
      <c r="L116">
        <v>4</v>
      </c>
      <c r="M116" t="s">
        <v>119</v>
      </c>
    </row>
    <row r="117" spans="1:13" x14ac:dyDescent="0.3">
      <c r="A117" t="s">
        <v>299</v>
      </c>
      <c r="B117" t="s">
        <v>300</v>
      </c>
      <c r="C117" t="s">
        <v>170</v>
      </c>
      <c r="D117" t="s">
        <v>165</v>
      </c>
      <c r="E117" t="s">
        <v>35</v>
      </c>
      <c r="F117" t="s">
        <v>53</v>
      </c>
      <c r="G117" t="s">
        <v>54</v>
      </c>
      <c r="H117" t="s">
        <v>29</v>
      </c>
      <c r="I117">
        <v>220384</v>
      </c>
      <c r="J117">
        <v>8</v>
      </c>
      <c r="K117">
        <v>4.8</v>
      </c>
      <c r="L117">
        <v>1</v>
      </c>
      <c r="M117" t="s">
        <v>55</v>
      </c>
    </row>
    <row r="118" spans="1:13" x14ac:dyDescent="0.3">
      <c r="A118" t="s">
        <v>301</v>
      </c>
      <c r="B118" t="s">
        <v>302</v>
      </c>
      <c r="C118" t="s">
        <v>75</v>
      </c>
      <c r="D118" t="s">
        <v>90</v>
      </c>
      <c r="E118" t="s">
        <v>42</v>
      </c>
      <c r="F118" t="s">
        <v>27</v>
      </c>
      <c r="G118" t="s">
        <v>28</v>
      </c>
      <c r="H118" t="s">
        <v>36</v>
      </c>
      <c r="I118">
        <v>33425</v>
      </c>
      <c r="J118">
        <v>7</v>
      </c>
      <c r="K118">
        <v>4.9000000000000004</v>
      </c>
      <c r="L118">
        <v>5</v>
      </c>
      <c r="M118" t="s">
        <v>47</v>
      </c>
    </row>
    <row r="119" spans="1:13" x14ac:dyDescent="0.3">
      <c r="A119" t="s">
        <v>303</v>
      </c>
      <c r="B119" t="s">
        <v>304</v>
      </c>
      <c r="C119" t="s">
        <v>45</v>
      </c>
      <c r="D119" t="s">
        <v>159</v>
      </c>
      <c r="E119" t="s">
        <v>42</v>
      </c>
      <c r="F119" t="s">
        <v>27</v>
      </c>
      <c r="G119" t="s">
        <v>28</v>
      </c>
      <c r="H119" t="s">
        <v>20</v>
      </c>
      <c r="I119">
        <v>16930</v>
      </c>
      <c r="J119">
        <v>5</v>
      </c>
      <c r="K119">
        <v>3.7</v>
      </c>
      <c r="L119">
        <v>8</v>
      </c>
      <c r="M119" t="s">
        <v>30</v>
      </c>
    </row>
    <row r="120" spans="1:13" x14ac:dyDescent="0.3">
      <c r="A120" t="s">
        <v>305</v>
      </c>
      <c r="B120" t="s">
        <v>306</v>
      </c>
      <c r="C120" t="s">
        <v>75</v>
      </c>
      <c r="D120" t="s">
        <v>46</v>
      </c>
      <c r="E120" t="s">
        <v>42</v>
      </c>
      <c r="F120" t="s">
        <v>27</v>
      </c>
      <c r="G120" t="s">
        <v>28</v>
      </c>
      <c r="H120" t="s">
        <v>29</v>
      </c>
      <c r="I120">
        <v>4263</v>
      </c>
      <c r="J120">
        <v>1</v>
      </c>
      <c r="K120">
        <v>4.4000000000000004</v>
      </c>
      <c r="L120">
        <v>1</v>
      </c>
      <c r="M120" t="s">
        <v>47</v>
      </c>
    </row>
    <row r="121" spans="1:13" x14ac:dyDescent="0.3">
      <c r="A121" t="s">
        <v>307</v>
      </c>
      <c r="B121" t="s">
        <v>308</v>
      </c>
      <c r="C121" t="s">
        <v>129</v>
      </c>
      <c r="D121" t="s">
        <v>79</v>
      </c>
      <c r="E121" t="s">
        <v>26</v>
      </c>
      <c r="F121" t="s">
        <v>60</v>
      </c>
      <c r="G121" t="s">
        <v>54</v>
      </c>
      <c r="H121" t="s">
        <v>20</v>
      </c>
      <c r="I121">
        <v>5703</v>
      </c>
      <c r="J121">
        <v>3</v>
      </c>
      <c r="K121">
        <v>3.6</v>
      </c>
      <c r="L121">
        <v>6</v>
      </c>
      <c r="M121" t="s">
        <v>144</v>
      </c>
    </row>
    <row r="122" spans="1:13" x14ac:dyDescent="0.3">
      <c r="A122" t="s">
        <v>309</v>
      </c>
      <c r="B122" t="s">
        <v>310</v>
      </c>
      <c r="C122" t="s">
        <v>122</v>
      </c>
      <c r="D122" t="s">
        <v>46</v>
      </c>
      <c r="E122" t="s">
        <v>42</v>
      </c>
      <c r="F122" t="s">
        <v>18</v>
      </c>
      <c r="G122" t="s">
        <v>54</v>
      </c>
      <c r="H122" t="s">
        <v>20</v>
      </c>
      <c r="I122">
        <v>29648</v>
      </c>
      <c r="J122">
        <v>8</v>
      </c>
      <c r="K122">
        <v>3.8</v>
      </c>
      <c r="L122">
        <v>5</v>
      </c>
      <c r="M122" t="s">
        <v>55</v>
      </c>
    </row>
    <row r="123" spans="1:13" x14ac:dyDescent="0.3">
      <c r="A123" t="s">
        <v>311</v>
      </c>
      <c r="B123" t="s">
        <v>23</v>
      </c>
      <c r="C123" t="s">
        <v>179</v>
      </c>
      <c r="D123" t="s">
        <v>90</v>
      </c>
      <c r="E123" t="s">
        <v>42</v>
      </c>
      <c r="F123" t="s">
        <v>18</v>
      </c>
      <c r="G123" t="s">
        <v>19</v>
      </c>
      <c r="H123" t="s">
        <v>36</v>
      </c>
      <c r="I123">
        <v>4914</v>
      </c>
      <c r="J123">
        <v>2</v>
      </c>
      <c r="K123">
        <v>3.7</v>
      </c>
      <c r="L123">
        <v>8</v>
      </c>
      <c r="M123" t="s">
        <v>30</v>
      </c>
    </row>
    <row r="124" spans="1:13" x14ac:dyDescent="0.3">
      <c r="A124" t="s">
        <v>312</v>
      </c>
      <c r="B124" t="s">
        <v>313</v>
      </c>
      <c r="C124" t="s">
        <v>24</v>
      </c>
      <c r="D124" t="s">
        <v>159</v>
      </c>
      <c r="E124" t="s">
        <v>42</v>
      </c>
      <c r="F124" t="s">
        <v>27</v>
      </c>
      <c r="G124" t="s">
        <v>19</v>
      </c>
      <c r="H124" t="s">
        <v>29</v>
      </c>
      <c r="I124">
        <v>2462</v>
      </c>
      <c r="J124">
        <v>2</v>
      </c>
      <c r="K124">
        <v>4.2</v>
      </c>
      <c r="L124">
        <v>5</v>
      </c>
      <c r="M124" t="s">
        <v>47</v>
      </c>
    </row>
    <row r="125" spans="1:13" x14ac:dyDescent="0.3">
      <c r="A125" t="s">
        <v>314</v>
      </c>
      <c r="B125" t="s">
        <v>203</v>
      </c>
      <c r="C125" t="s">
        <v>146</v>
      </c>
      <c r="D125" t="s">
        <v>79</v>
      </c>
      <c r="E125" t="s">
        <v>26</v>
      </c>
      <c r="F125" t="s">
        <v>100</v>
      </c>
      <c r="G125" t="s">
        <v>19</v>
      </c>
      <c r="H125" t="s">
        <v>36</v>
      </c>
      <c r="I125">
        <v>26848</v>
      </c>
      <c r="J125">
        <v>4</v>
      </c>
      <c r="K125">
        <v>4.2</v>
      </c>
      <c r="L125">
        <v>6</v>
      </c>
      <c r="M125" t="s">
        <v>80</v>
      </c>
    </row>
    <row r="126" spans="1:13" x14ac:dyDescent="0.3">
      <c r="A126" t="s">
        <v>315</v>
      </c>
      <c r="B126" t="s">
        <v>300</v>
      </c>
      <c r="C126" t="s">
        <v>75</v>
      </c>
      <c r="D126" t="s">
        <v>218</v>
      </c>
      <c r="E126" t="s">
        <v>17</v>
      </c>
      <c r="F126" t="s">
        <v>60</v>
      </c>
      <c r="G126" t="s">
        <v>28</v>
      </c>
      <c r="H126" t="s">
        <v>29</v>
      </c>
      <c r="I126">
        <v>11008</v>
      </c>
      <c r="J126">
        <v>8</v>
      </c>
      <c r="K126">
        <v>3.4</v>
      </c>
      <c r="L126">
        <v>6</v>
      </c>
      <c r="M126" t="s">
        <v>55</v>
      </c>
    </row>
    <row r="127" spans="1:13" x14ac:dyDescent="0.3">
      <c r="A127" t="s">
        <v>316</v>
      </c>
      <c r="B127" t="s">
        <v>261</v>
      </c>
      <c r="C127" t="s">
        <v>170</v>
      </c>
      <c r="D127" t="s">
        <v>63</v>
      </c>
      <c r="E127" t="s">
        <v>52</v>
      </c>
      <c r="F127" t="s">
        <v>27</v>
      </c>
      <c r="G127" t="s">
        <v>19</v>
      </c>
      <c r="H127" t="s">
        <v>29</v>
      </c>
      <c r="I127">
        <v>3332</v>
      </c>
      <c r="J127">
        <v>7</v>
      </c>
      <c r="K127">
        <v>3.7</v>
      </c>
      <c r="L127">
        <v>3</v>
      </c>
      <c r="M127" t="s">
        <v>80</v>
      </c>
    </row>
    <row r="128" spans="1:13" x14ac:dyDescent="0.3">
      <c r="A128" t="s">
        <v>317</v>
      </c>
      <c r="B128" t="s">
        <v>290</v>
      </c>
      <c r="C128" t="s">
        <v>112</v>
      </c>
      <c r="D128" t="s">
        <v>59</v>
      </c>
      <c r="E128" t="s">
        <v>26</v>
      </c>
      <c r="F128" t="s">
        <v>27</v>
      </c>
      <c r="G128" t="s">
        <v>19</v>
      </c>
      <c r="H128" t="s">
        <v>20</v>
      </c>
      <c r="I128">
        <v>28805</v>
      </c>
      <c r="J128">
        <v>5</v>
      </c>
      <c r="K128">
        <v>4.3</v>
      </c>
      <c r="L128">
        <v>2</v>
      </c>
      <c r="M128" t="s">
        <v>87</v>
      </c>
    </row>
    <row r="129" spans="1:13" x14ac:dyDescent="0.3">
      <c r="A129" t="s">
        <v>318</v>
      </c>
      <c r="B129" t="s">
        <v>319</v>
      </c>
      <c r="C129" t="s">
        <v>58</v>
      </c>
      <c r="D129" t="s">
        <v>109</v>
      </c>
      <c r="E129" t="s">
        <v>52</v>
      </c>
      <c r="F129" t="s">
        <v>60</v>
      </c>
      <c r="G129" t="s">
        <v>54</v>
      </c>
      <c r="H129" t="s">
        <v>64</v>
      </c>
      <c r="I129">
        <v>582</v>
      </c>
      <c r="J129">
        <v>1</v>
      </c>
      <c r="K129">
        <v>3.7</v>
      </c>
      <c r="L129">
        <v>4</v>
      </c>
      <c r="M129" t="s">
        <v>30</v>
      </c>
    </row>
    <row r="130" spans="1:13" x14ac:dyDescent="0.3">
      <c r="A130" t="s">
        <v>320</v>
      </c>
      <c r="B130" t="s">
        <v>321</v>
      </c>
      <c r="C130" t="s">
        <v>24</v>
      </c>
      <c r="D130" t="s">
        <v>59</v>
      </c>
      <c r="E130" t="s">
        <v>26</v>
      </c>
      <c r="F130" t="s">
        <v>60</v>
      </c>
      <c r="G130" t="s">
        <v>28</v>
      </c>
      <c r="H130" t="s">
        <v>64</v>
      </c>
      <c r="I130">
        <v>41150</v>
      </c>
      <c r="J130">
        <v>5</v>
      </c>
      <c r="K130">
        <v>3.3</v>
      </c>
      <c r="L130">
        <v>1</v>
      </c>
      <c r="M130" t="s">
        <v>192</v>
      </c>
    </row>
    <row r="131" spans="1:13" x14ac:dyDescent="0.3">
      <c r="A131" t="s">
        <v>322</v>
      </c>
      <c r="B131" t="s">
        <v>207</v>
      </c>
      <c r="C131" t="s">
        <v>170</v>
      </c>
      <c r="D131" t="s">
        <v>159</v>
      </c>
      <c r="E131" t="s">
        <v>42</v>
      </c>
      <c r="F131" t="s">
        <v>83</v>
      </c>
      <c r="G131" t="s">
        <v>28</v>
      </c>
      <c r="H131" t="s">
        <v>36</v>
      </c>
      <c r="I131">
        <v>11898</v>
      </c>
      <c r="J131">
        <v>3</v>
      </c>
      <c r="K131">
        <v>4.5999999999999996</v>
      </c>
      <c r="L131">
        <v>2</v>
      </c>
      <c r="M131" t="s">
        <v>126</v>
      </c>
    </row>
    <row r="132" spans="1:13" x14ac:dyDescent="0.3">
      <c r="A132" t="s">
        <v>323</v>
      </c>
      <c r="B132" t="s">
        <v>324</v>
      </c>
      <c r="C132" t="s">
        <v>170</v>
      </c>
      <c r="D132" t="s">
        <v>97</v>
      </c>
      <c r="E132" t="s">
        <v>35</v>
      </c>
      <c r="F132" t="s">
        <v>100</v>
      </c>
      <c r="G132" t="s">
        <v>104</v>
      </c>
      <c r="H132" t="s">
        <v>20</v>
      </c>
      <c r="I132">
        <v>121614</v>
      </c>
      <c r="J132">
        <v>3</v>
      </c>
      <c r="K132">
        <v>4</v>
      </c>
      <c r="L132">
        <v>3</v>
      </c>
      <c r="M132" t="s">
        <v>21</v>
      </c>
    </row>
    <row r="133" spans="1:13" x14ac:dyDescent="0.3">
      <c r="A133" t="s">
        <v>325</v>
      </c>
      <c r="B133" t="s">
        <v>326</v>
      </c>
      <c r="C133" t="s">
        <v>122</v>
      </c>
      <c r="D133" t="s">
        <v>51</v>
      </c>
      <c r="E133" t="s">
        <v>52</v>
      </c>
      <c r="F133" t="s">
        <v>83</v>
      </c>
      <c r="G133" t="s">
        <v>104</v>
      </c>
      <c r="H133" t="s">
        <v>36</v>
      </c>
      <c r="I133">
        <v>12104</v>
      </c>
      <c r="J133">
        <v>8</v>
      </c>
      <c r="K133">
        <v>4.9000000000000004</v>
      </c>
      <c r="L133">
        <v>8</v>
      </c>
      <c r="M133" t="s">
        <v>65</v>
      </c>
    </row>
    <row r="134" spans="1:13" x14ac:dyDescent="0.3">
      <c r="A134" t="s">
        <v>327</v>
      </c>
      <c r="B134" t="s">
        <v>211</v>
      </c>
      <c r="C134" t="s">
        <v>129</v>
      </c>
      <c r="D134" t="s">
        <v>218</v>
      </c>
      <c r="E134" t="s">
        <v>17</v>
      </c>
      <c r="F134" t="s">
        <v>60</v>
      </c>
      <c r="G134" t="s">
        <v>104</v>
      </c>
      <c r="H134" t="s">
        <v>36</v>
      </c>
      <c r="I134">
        <v>7080</v>
      </c>
      <c r="J134">
        <v>8</v>
      </c>
      <c r="K134">
        <v>3.4</v>
      </c>
      <c r="L134">
        <v>5</v>
      </c>
      <c r="M134" t="s">
        <v>65</v>
      </c>
    </row>
    <row r="135" spans="1:13" x14ac:dyDescent="0.3">
      <c r="A135" t="s">
        <v>328</v>
      </c>
      <c r="B135" t="s">
        <v>102</v>
      </c>
      <c r="C135" t="s">
        <v>45</v>
      </c>
      <c r="D135" t="s">
        <v>41</v>
      </c>
      <c r="E135" t="s">
        <v>42</v>
      </c>
      <c r="F135" t="s">
        <v>27</v>
      </c>
      <c r="G135" t="s">
        <v>54</v>
      </c>
      <c r="H135" t="s">
        <v>20</v>
      </c>
      <c r="I135">
        <v>15456</v>
      </c>
      <c r="J135">
        <v>4</v>
      </c>
      <c r="K135">
        <v>4</v>
      </c>
      <c r="L135">
        <v>5</v>
      </c>
      <c r="M135" t="s">
        <v>30</v>
      </c>
    </row>
    <row r="136" spans="1:13" x14ac:dyDescent="0.3">
      <c r="A136" t="s">
        <v>329</v>
      </c>
      <c r="B136" t="s">
        <v>330</v>
      </c>
      <c r="C136" t="s">
        <v>33</v>
      </c>
      <c r="D136" t="s">
        <v>116</v>
      </c>
      <c r="E136" t="s">
        <v>17</v>
      </c>
      <c r="F136" t="s">
        <v>18</v>
      </c>
      <c r="G136" t="s">
        <v>19</v>
      </c>
      <c r="H136" t="s">
        <v>29</v>
      </c>
      <c r="I136">
        <v>8652</v>
      </c>
      <c r="J136">
        <v>6</v>
      </c>
      <c r="K136">
        <v>4.0999999999999996</v>
      </c>
      <c r="L136">
        <v>1</v>
      </c>
      <c r="M136" t="s">
        <v>55</v>
      </c>
    </row>
    <row r="137" spans="1:13" x14ac:dyDescent="0.3">
      <c r="A137" t="s">
        <v>331</v>
      </c>
      <c r="B137" t="s">
        <v>332</v>
      </c>
      <c r="C137" t="s">
        <v>58</v>
      </c>
      <c r="D137" t="s">
        <v>90</v>
      </c>
      <c r="E137" t="s">
        <v>42</v>
      </c>
      <c r="F137" t="s">
        <v>53</v>
      </c>
      <c r="G137" t="s">
        <v>28</v>
      </c>
      <c r="H137" t="s">
        <v>29</v>
      </c>
      <c r="I137">
        <v>11757</v>
      </c>
      <c r="J137">
        <v>3</v>
      </c>
      <c r="K137">
        <v>4.5</v>
      </c>
      <c r="L137">
        <v>5</v>
      </c>
      <c r="M137" t="s">
        <v>80</v>
      </c>
    </row>
    <row r="138" spans="1:13" x14ac:dyDescent="0.3">
      <c r="A138" t="s">
        <v>333</v>
      </c>
      <c r="B138" t="s">
        <v>334</v>
      </c>
      <c r="C138" t="s">
        <v>45</v>
      </c>
      <c r="D138" t="s">
        <v>41</v>
      </c>
      <c r="E138" t="s">
        <v>42</v>
      </c>
      <c r="F138" t="s">
        <v>60</v>
      </c>
      <c r="G138" t="s">
        <v>104</v>
      </c>
      <c r="H138" t="s">
        <v>20</v>
      </c>
      <c r="I138">
        <v>32886</v>
      </c>
      <c r="J138">
        <v>6</v>
      </c>
      <c r="K138">
        <v>4.5999999999999996</v>
      </c>
      <c r="L138">
        <v>1</v>
      </c>
      <c r="M138" t="s">
        <v>55</v>
      </c>
    </row>
    <row r="139" spans="1:13" x14ac:dyDescent="0.3">
      <c r="A139" t="s">
        <v>335</v>
      </c>
      <c r="B139" t="s">
        <v>336</v>
      </c>
      <c r="C139" t="s">
        <v>170</v>
      </c>
      <c r="D139" t="s">
        <v>116</v>
      </c>
      <c r="E139" t="s">
        <v>17</v>
      </c>
      <c r="F139" t="s">
        <v>60</v>
      </c>
      <c r="G139" t="s">
        <v>19</v>
      </c>
      <c r="H139" t="s">
        <v>64</v>
      </c>
      <c r="I139">
        <v>4214</v>
      </c>
      <c r="J139">
        <v>7</v>
      </c>
      <c r="K139">
        <v>3.5</v>
      </c>
      <c r="L139">
        <v>8</v>
      </c>
      <c r="M139" t="s">
        <v>80</v>
      </c>
    </row>
    <row r="140" spans="1:13" x14ac:dyDescent="0.3">
      <c r="A140" t="s">
        <v>337</v>
      </c>
      <c r="B140" t="s">
        <v>271</v>
      </c>
      <c r="C140" t="s">
        <v>112</v>
      </c>
      <c r="D140" t="s">
        <v>51</v>
      </c>
      <c r="E140" t="s">
        <v>52</v>
      </c>
      <c r="F140" t="s">
        <v>60</v>
      </c>
      <c r="G140" t="s">
        <v>104</v>
      </c>
      <c r="H140" t="s">
        <v>20</v>
      </c>
      <c r="I140">
        <v>4040</v>
      </c>
      <c r="J140">
        <v>8</v>
      </c>
      <c r="K140">
        <v>4.2</v>
      </c>
      <c r="L140">
        <v>8</v>
      </c>
      <c r="M140" t="s">
        <v>65</v>
      </c>
    </row>
    <row r="141" spans="1:13" x14ac:dyDescent="0.3">
      <c r="A141" t="s">
        <v>338</v>
      </c>
      <c r="B141" t="s">
        <v>304</v>
      </c>
      <c r="C141" t="s">
        <v>78</v>
      </c>
      <c r="D141" t="s">
        <v>46</v>
      </c>
      <c r="E141" t="s">
        <v>42</v>
      </c>
      <c r="F141" t="s">
        <v>53</v>
      </c>
      <c r="G141" t="s">
        <v>19</v>
      </c>
      <c r="H141" t="s">
        <v>29</v>
      </c>
      <c r="I141">
        <v>27996</v>
      </c>
      <c r="J141">
        <v>6</v>
      </c>
      <c r="K141">
        <v>4.9000000000000004</v>
      </c>
      <c r="L141">
        <v>5</v>
      </c>
      <c r="M141" t="s">
        <v>30</v>
      </c>
    </row>
    <row r="142" spans="1:13" x14ac:dyDescent="0.3">
      <c r="A142" t="s">
        <v>339</v>
      </c>
      <c r="B142" t="s">
        <v>118</v>
      </c>
      <c r="C142" t="s">
        <v>50</v>
      </c>
      <c r="D142" t="s">
        <v>34</v>
      </c>
      <c r="E142" t="s">
        <v>35</v>
      </c>
      <c r="F142" t="s">
        <v>53</v>
      </c>
      <c r="G142" t="s">
        <v>19</v>
      </c>
      <c r="H142" t="s">
        <v>29</v>
      </c>
      <c r="I142">
        <v>385744</v>
      </c>
      <c r="J142">
        <v>8</v>
      </c>
      <c r="K142">
        <v>3.7</v>
      </c>
      <c r="L142">
        <v>7</v>
      </c>
      <c r="M142" t="s">
        <v>119</v>
      </c>
    </row>
    <row r="143" spans="1:13" x14ac:dyDescent="0.3">
      <c r="A143" t="s">
        <v>340</v>
      </c>
      <c r="B143" t="s">
        <v>290</v>
      </c>
      <c r="C143" t="s">
        <v>78</v>
      </c>
      <c r="D143" t="s">
        <v>218</v>
      </c>
      <c r="E143" t="s">
        <v>17</v>
      </c>
      <c r="F143" t="s">
        <v>27</v>
      </c>
      <c r="G143" t="s">
        <v>104</v>
      </c>
      <c r="H143" t="s">
        <v>20</v>
      </c>
      <c r="I143">
        <v>7230</v>
      </c>
      <c r="J143">
        <v>6</v>
      </c>
      <c r="K143">
        <v>4.7</v>
      </c>
      <c r="L143">
        <v>5</v>
      </c>
      <c r="M143" t="s">
        <v>87</v>
      </c>
    </row>
    <row r="144" spans="1:13" x14ac:dyDescent="0.3">
      <c r="A144" t="s">
        <v>341</v>
      </c>
      <c r="B144" t="s">
        <v>342</v>
      </c>
      <c r="C144" t="s">
        <v>170</v>
      </c>
      <c r="D144" t="s">
        <v>86</v>
      </c>
      <c r="E144" t="s">
        <v>17</v>
      </c>
      <c r="F144" t="s">
        <v>27</v>
      </c>
      <c r="G144" t="s">
        <v>28</v>
      </c>
      <c r="H144" t="s">
        <v>36</v>
      </c>
      <c r="I144">
        <v>1671</v>
      </c>
      <c r="J144">
        <v>1</v>
      </c>
      <c r="K144">
        <v>3.3</v>
      </c>
      <c r="L144">
        <v>7</v>
      </c>
      <c r="M144" t="s">
        <v>21</v>
      </c>
    </row>
    <row r="145" spans="1:13" x14ac:dyDescent="0.3">
      <c r="A145" t="s">
        <v>343</v>
      </c>
      <c r="B145" t="s">
        <v>344</v>
      </c>
      <c r="C145" t="s">
        <v>75</v>
      </c>
      <c r="D145" t="s">
        <v>147</v>
      </c>
      <c r="E145" t="s">
        <v>52</v>
      </c>
      <c r="F145" t="s">
        <v>27</v>
      </c>
      <c r="G145" t="s">
        <v>19</v>
      </c>
      <c r="H145" t="s">
        <v>36</v>
      </c>
      <c r="I145">
        <v>6594</v>
      </c>
      <c r="J145">
        <v>3</v>
      </c>
      <c r="K145">
        <v>3.8</v>
      </c>
      <c r="L145">
        <v>1</v>
      </c>
      <c r="M145" t="s">
        <v>30</v>
      </c>
    </row>
    <row r="146" spans="1:13" x14ac:dyDescent="0.3">
      <c r="A146" t="s">
        <v>345</v>
      </c>
      <c r="B146" t="s">
        <v>346</v>
      </c>
      <c r="C146" t="s">
        <v>170</v>
      </c>
      <c r="D146" t="s">
        <v>51</v>
      </c>
      <c r="E146" t="s">
        <v>52</v>
      </c>
      <c r="F146" t="s">
        <v>53</v>
      </c>
      <c r="G146" t="s">
        <v>28</v>
      </c>
      <c r="H146" t="s">
        <v>64</v>
      </c>
      <c r="I146">
        <v>2279</v>
      </c>
      <c r="J146">
        <v>1</v>
      </c>
      <c r="K146">
        <v>3.2</v>
      </c>
      <c r="L146">
        <v>2</v>
      </c>
      <c r="M146" t="s">
        <v>37</v>
      </c>
    </row>
    <row r="147" spans="1:13" x14ac:dyDescent="0.3">
      <c r="A147" t="s">
        <v>347</v>
      </c>
      <c r="B147" t="s">
        <v>348</v>
      </c>
      <c r="C147" t="s">
        <v>15</v>
      </c>
      <c r="D147" t="s">
        <v>51</v>
      </c>
      <c r="E147" t="s">
        <v>52</v>
      </c>
      <c r="F147" t="s">
        <v>27</v>
      </c>
      <c r="G147" t="s">
        <v>104</v>
      </c>
      <c r="H147" t="s">
        <v>29</v>
      </c>
      <c r="I147">
        <v>6416</v>
      </c>
      <c r="J147">
        <v>4</v>
      </c>
      <c r="K147">
        <v>3.7</v>
      </c>
      <c r="L147">
        <v>3</v>
      </c>
      <c r="M147" t="s">
        <v>21</v>
      </c>
    </row>
    <row r="148" spans="1:13" x14ac:dyDescent="0.3">
      <c r="A148" t="s">
        <v>349</v>
      </c>
      <c r="B148" t="s">
        <v>350</v>
      </c>
      <c r="C148" t="s">
        <v>72</v>
      </c>
      <c r="D148" t="s">
        <v>79</v>
      </c>
      <c r="E148" t="s">
        <v>26</v>
      </c>
      <c r="F148" t="s">
        <v>60</v>
      </c>
      <c r="G148" t="s">
        <v>104</v>
      </c>
      <c r="H148" t="s">
        <v>20</v>
      </c>
      <c r="I148">
        <v>51569</v>
      </c>
      <c r="J148">
        <v>7</v>
      </c>
      <c r="K148">
        <v>4.4000000000000004</v>
      </c>
      <c r="L148">
        <v>3</v>
      </c>
      <c r="M148" t="s">
        <v>80</v>
      </c>
    </row>
    <row r="149" spans="1:13" x14ac:dyDescent="0.3">
      <c r="A149" t="s">
        <v>351</v>
      </c>
      <c r="B149" t="s">
        <v>352</v>
      </c>
      <c r="C149" t="s">
        <v>103</v>
      </c>
      <c r="D149" t="s">
        <v>218</v>
      </c>
      <c r="E149" t="s">
        <v>17</v>
      </c>
      <c r="F149" t="s">
        <v>27</v>
      </c>
      <c r="G149" t="s">
        <v>104</v>
      </c>
      <c r="H149" t="s">
        <v>20</v>
      </c>
      <c r="I149">
        <v>4856</v>
      </c>
      <c r="J149">
        <v>4</v>
      </c>
      <c r="K149">
        <v>4.5</v>
      </c>
      <c r="L149">
        <v>1</v>
      </c>
      <c r="M149" t="s">
        <v>55</v>
      </c>
    </row>
    <row r="150" spans="1:13" x14ac:dyDescent="0.3">
      <c r="A150" t="s">
        <v>353</v>
      </c>
      <c r="B150" t="s">
        <v>354</v>
      </c>
      <c r="C150" t="s">
        <v>129</v>
      </c>
      <c r="D150" t="s">
        <v>16</v>
      </c>
      <c r="E150" t="s">
        <v>17</v>
      </c>
      <c r="F150" t="s">
        <v>100</v>
      </c>
      <c r="G150" t="s">
        <v>19</v>
      </c>
      <c r="H150" t="s">
        <v>20</v>
      </c>
      <c r="I150">
        <v>3135</v>
      </c>
      <c r="J150">
        <v>5</v>
      </c>
      <c r="K150">
        <v>4.3</v>
      </c>
      <c r="L150">
        <v>5</v>
      </c>
      <c r="M150" t="s">
        <v>47</v>
      </c>
    </row>
    <row r="151" spans="1:13" x14ac:dyDescent="0.3">
      <c r="A151" t="s">
        <v>355</v>
      </c>
      <c r="B151" t="s">
        <v>356</v>
      </c>
      <c r="C151" t="s">
        <v>122</v>
      </c>
      <c r="D151" t="s">
        <v>51</v>
      </c>
      <c r="E151" t="s">
        <v>52</v>
      </c>
      <c r="F151" t="s">
        <v>27</v>
      </c>
      <c r="G151" t="s">
        <v>54</v>
      </c>
      <c r="H151" t="s">
        <v>64</v>
      </c>
      <c r="I151">
        <v>14240</v>
      </c>
      <c r="J151">
        <v>8</v>
      </c>
      <c r="K151">
        <v>4.5999999999999996</v>
      </c>
      <c r="L151">
        <v>4</v>
      </c>
      <c r="M151" t="s">
        <v>80</v>
      </c>
    </row>
    <row r="152" spans="1:13" x14ac:dyDescent="0.3">
      <c r="A152" t="s">
        <v>357</v>
      </c>
      <c r="B152" t="s">
        <v>263</v>
      </c>
      <c r="C152" t="s">
        <v>170</v>
      </c>
      <c r="D152" t="s">
        <v>59</v>
      </c>
      <c r="E152" t="s">
        <v>26</v>
      </c>
      <c r="F152" t="s">
        <v>100</v>
      </c>
      <c r="G152" t="s">
        <v>28</v>
      </c>
      <c r="H152" t="s">
        <v>36</v>
      </c>
      <c r="I152">
        <v>20366</v>
      </c>
      <c r="J152">
        <v>2</v>
      </c>
      <c r="K152">
        <v>4.2</v>
      </c>
      <c r="L152">
        <v>3</v>
      </c>
      <c r="M152" t="s">
        <v>87</v>
      </c>
    </row>
    <row r="153" spans="1:13" x14ac:dyDescent="0.3">
      <c r="A153" t="s">
        <v>358</v>
      </c>
      <c r="B153" t="s">
        <v>359</v>
      </c>
      <c r="C153" t="s">
        <v>78</v>
      </c>
      <c r="D153" t="s">
        <v>51</v>
      </c>
      <c r="E153" t="s">
        <v>52</v>
      </c>
      <c r="F153" t="s">
        <v>60</v>
      </c>
      <c r="G153" t="s">
        <v>104</v>
      </c>
      <c r="H153" t="s">
        <v>36</v>
      </c>
      <c r="I153">
        <v>16856</v>
      </c>
      <c r="J153">
        <v>8</v>
      </c>
      <c r="K153">
        <v>4</v>
      </c>
      <c r="L153">
        <v>1</v>
      </c>
      <c r="M153" t="s">
        <v>87</v>
      </c>
    </row>
    <row r="154" spans="1:13" x14ac:dyDescent="0.3">
      <c r="A154" t="s">
        <v>360</v>
      </c>
      <c r="B154" t="s">
        <v>361</v>
      </c>
      <c r="C154" t="s">
        <v>75</v>
      </c>
      <c r="D154" t="s">
        <v>46</v>
      </c>
      <c r="E154" t="s">
        <v>42</v>
      </c>
      <c r="F154" t="s">
        <v>60</v>
      </c>
      <c r="G154" t="s">
        <v>54</v>
      </c>
      <c r="H154" t="s">
        <v>29</v>
      </c>
      <c r="I154">
        <v>16680</v>
      </c>
      <c r="J154">
        <v>4</v>
      </c>
      <c r="K154">
        <v>4.5</v>
      </c>
      <c r="L154">
        <v>1</v>
      </c>
      <c r="M154" t="s">
        <v>144</v>
      </c>
    </row>
    <row r="155" spans="1:13" x14ac:dyDescent="0.3">
      <c r="A155" t="s">
        <v>362</v>
      </c>
      <c r="B155" t="s">
        <v>363</v>
      </c>
      <c r="C155" t="s">
        <v>129</v>
      </c>
      <c r="D155" t="s">
        <v>159</v>
      </c>
      <c r="E155" t="s">
        <v>42</v>
      </c>
      <c r="F155" t="s">
        <v>18</v>
      </c>
      <c r="G155" t="s">
        <v>19</v>
      </c>
      <c r="H155" t="s">
        <v>64</v>
      </c>
      <c r="I155">
        <v>26544</v>
      </c>
      <c r="J155">
        <v>7</v>
      </c>
      <c r="K155">
        <v>3.3</v>
      </c>
      <c r="L155">
        <v>3</v>
      </c>
      <c r="M155" t="s">
        <v>80</v>
      </c>
    </row>
    <row r="156" spans="1:13" x14ac:dyDescent="0.3">
      <c r="A156" t="s">
        <v>364</v>
      </c>
      <c r="B156" t="s">
        <v>365</v>
      </c>
      <c r="C156" t="s">
        <v>122</v>
      </c>
      <c r="D156" t="s">
        <v>79</v>
      </c>
      <c r="E156" t="s">
        <v>26</v>
      </c>
      <c r="F156" t="s">
        <v>60</v>
      </c>
      <c r="G156" t="s">
        <v>104</v>
      </c>
      <c r="H156" t="s">
        <v>20</v>
      </c>
      <c r="I156">
        <v>7748</v>
      </c>
      <c r="J156">
        <v>1</v>
      </c>
      <c r="K156">
        <v>4.2</v>
      </c>
      <c r="L156">
        <v>4</v>
      </c>
      <c r="M156" t="s">
        <v>37</v>
      </c>
    </row>
    <row r="157" spans="1:13" x14ac:dyDescent="0.3">
      <c r="A157" t="s">
        <v>366</v>
      </c>
      <c r="B157" t="s">
        <v>367</v>
      </c>
      <c r="C157" t="s">
        <v>45</v>
      </c>
      <c r="D157" t="s">
        <v>34</v>
      </c>
      <c r="E157" t="s">
        <v>35</v>
      </c>
      <c r="F157" t="s">
        <v>18</v>
      </c>
      <c r="G157" t="s">
        <v>28</v>
      </c>
      <c r="H157" t="s">
        <v>36</v>
      </c>
      <c r="I157">
        <v>83099</v>
      </c>
      <c r="J157">
        <v>1</v>
      </c>
      <c r="K157">
        <v>3.6</v>
      </c>
      <c r="L157">
        <v>2</v>
      </c>
      <c r="M157" t="s">
        <v>87</v>
      </c>
    </row>
    <row r="158" spans="1:13" x14ac:dyDescent="0.3">
      <c r="A158" t="s">
        <v>368</v>
      </c>
      <c r="B158" t="s">
        <v>369</v>
      </c>
      <c r="C158" t="s">
        <v>122</v>
      </c>
      <c r="D158" t="s">
        <v>147</v>
      </c>
      <c r="E158" t="s">
        <v>52</v>
      </c>
      <c r="F158" t="s">
        <v>27</v>
      </c>
      <c r="G158" t="s">
        <v>104</v>
      </c>
      <c r="H158" t="s">
        <v>29</v>
      </c>
      <c r="I158">
        <v>19680</v>
      </c>
      <c r="J158">
        <v>8</v>
      </c>
      <c r="K158">
        <v>4.0999999999999996</v>
      </c>
      <c r="L158">
        <v>5</v>
      </c>
      <c r="M158" t="s">
        <v>55</v>
      </c>
    </row>
    <row r="159" spans="1:13" x14ac:dyDescent="0.3">
      <c r="A159" t="s">
        <v>370</v>
      </c>
      <c r="B159" t="s">
        <v>371</v>
      </c>
      <c r="C159" t="s">
        <v>133</v>
      </c>
      <c r="D159" t="s">
        <v>109</v>
      </c>
      <c r="E159" t="s">
        <v>52</v>
      </c>
      <c r="F159" t="s">
        <v>100</v>
      </c>
      <c r="G159" t="s">
        <v>28</v>
      </c>
      <c r="H159" t="s">
        <v>36</v>
      </c>
      <c r="I159">
        <v>5920</v>
      </c>
      <c r="J159">
        <v>4</v>
      </c>
      <c r="K159">
        <v>4.9000000000000004</v>
      </c>
      <c r="L159">
        <v>3</v>
      </c>
      <c r="M159" t="s">
        <v>80</v>
      </c>
    </row>
    <row r="160" spans="1:13" x14ac:dyDescent="0.3">
      <c r="A160" t="s">
        <v>372</v>
      </c>
      <c r="B160" t="s">
        <v>373</v>
      </c>
      <c r="C160" t="s">
        <v>122</v>
      </c>
      <c r="D160" t="s">
        <v>97</v>
      </c>
      <c r="E160" t="s">
        <v>35</v>
      </c>
      <c r="F160" t="s">
        <v>83</v>
      </c>
      <c r="G160" t="s">
        <v>104</v>
      </c>
      <c r="H160" t="s">
        <v>20</v>
      </c>
      <c r="I160">
        <v>336066</v>
      </c>
      <c r="J160">
        <v>6</v>
      </c>
      <c r="K160">
        <v>3.9</v>
      </c>
      <c r="L160">
        <v>8</v>
      </c>
      <c r="M160" t="s">
        <v>65</v>
      </c>
    </row>
    <row r="161" spans="1:13" x14ac:dyDescent="0.3">
      <c r="A161" t="s">
        <v>374</v>
      </c>
      <c r="B161" t="s">
        <v>23</v>
      </c>
      <c r="C161" t="s">
        <v>75</v>
      </c>
      <c r="D161" t="s">
        <v>41</v>
      </c>
      <c r="E161" t="s">
        <v>42</v>
      </c>
      <c r="F161" t="s">
        <v>60</v>
      </c>
      <c r="G161" t="s">
        <v>104</v>
      </c>
      <c r="H161" t="s">
        <v>36</v>
      </c>
      <c r="I161">
        <v>27167</v>
      </c>
      <c r="J161">
        <v>7</v>
      </c>
      <c r="K161">
        <v>3.7</v>
      </c>
      <c r="L161">
        <v>6</v>
      </c>
      <c r="M161" t="s">
        <v>30</v>
      </c>
    </row>
    <row r="162" spans="1:13" x14ac:dyDescent="0.3">
      <c r="A162" t="s">
        <v>375</v>
      </c>
      <c r="B162" t="s">
        <v>376</v>
      </c>
      <c r="C162" t="s">
        <v>125</v>
      </c>
      <c r="D162" t="s">
        <v>79</v>
      </c>
      <c r="E162" t="s">
        <v>26</v>
      </c>
      <c r="F162" t="s">
        <v>83</v>
      </c>
      <c r="G162" t="s">
        <v>104</v>
      </c>
      <c r="H162" t="s">
        <v>29</v>
      </c>
      <c r="I162">
        <v>52130</v>
      </c>
      <c r="J162">
        <v>5</v>
      </c>
      <c r="K162">
        <v>4.5</v>
      </c>
      <c r="L162">
        <v>4</v>
      </c>
      <c r="M162" t="s">
        <v>144</v>
      </c>
    </row>
    <row r="163" spans="1:13" x14ac:dyDescent="0.3">
      <c r="A163" t="s">
        <v>377</v>
      </c>
      <c r="B163" t="s">
        <v>89</v>
      </c>
      <c r="C163" t="s">
        <v>40</v>
      </c>
      <c r="D163" t="s">
        <v>86</v>
      </c>
      <c r="E163" t="s">
        <v>17</v>
      </c>
      <c r="F163" t="s">
        <v>60</v>
      </c>
      <c r="G163" t="s">
        <v>28</v>
      </c>
      <c r="H163" t="s">
        <v>29</v>
      </c>
      <c r="I163">
        <v>2560</v>
      </c>
      <c r="J163">
        <v>2</v>
      </c>
      <c r="K163">
        <v>4.8</v>
      </c>
      <c r="L163">
        <v>6</v>
      </c>
      <c r="M163" t="s">
        <v>37</v>
      </c>
    </row>
    <row r="164" spans="1:13" x14ac:dyDescent="0.3">
      <c r="A164" t="s">
        <v>378</v>
      </c>
      <c r="B164" t="s">
        <v>379</v>
      </c>
      <c r="C164" t="s">
        <v>33</v>
      </c>
      <c r="D164" t="s">
        <v>130</v>
      </c>
      <c r="E164" t="s">
        <v>35</v>
      </c>
      <c r="F164" t="s">
        <v>100</v>
      </c>
      <c r="G164" t="s">
        <v>19</v>
      </c>
      <c r="H164" t="s">
        <v>20</v>
      </c>
      <c r="I164">
        <v>512296</v>
      </c>
      <c r="J164">
        <v>8</v>
      </c>
      <c r="K164">
        <v>3.9</v>
      </c>
      <c r="L164">
        <v>7</v>
      </c>
      <c r="M164" t="s">
        <v>55</v>
      </c>
    </row>
    <row r="165" spans="1:13" x14ac:dyDescent="0.3">
      <c r="A165" t="s">
        <v>380</v>
      </c>
      <c r="B165" t="s">
        <v>381</v>
      </c>
      <c r="C165" t="s">
        <v>125</v>
      </c>
      <c r="D165" t="s">
        <v>218</v>
      </c>
      <c r="E165" t="s">
        <v>17</v>
      </c>
      <c r="F165" t="s">
        <v>100</v>
      </c>
      <c r="G165" t="s">
        <v>104</v>
      </c>
      <c r="H165" t="s">
        <v>29</v>
      </c>
      <c r="I165">
        <v>6328</v>
      </c>
      <c r="J165">
        <v>7</v>
      </c>
      <c r="K165">
        <v>3.9</v>
      </c>
      <c r="L165">
        <v>4</v>
      </c>
      <c r="M165" t="s">
        <v>30</v>
      </c>
    </row>
    <row r="166" spans="1:13" x14ac:dyDescent="0.3">
      <c r="A166" t="s">
        <v>382</v>
      </c>
      <c r="B166" t="s">
        <v>383</v>
      </c>
      <c r="C166" t="s">
        <v>112</v>
      </c>
      <c r="D166" t="s">
        <v>90</v>
      </c>
      <c r="E166" t="s">
        <v>42</v>
      </c>
      <c r="F166" t="s">
        <v>18</v>
      </c>
      <c r="G166" t="s">
        <v>54</v>
      </c>
      <c r="H166" t="s">
        <v>36</v>
      </c>
      <c r="I166">
        <v>5538</v>
      </c>
      <c r="J166">
        <v>3</v>
      </c>
      <c r="K166">
        <v>4.0999999999999996</v>
      </c>
      <c r="L166">
        <v>1</v>
      </c>
      <c r="M166" t="s">
        <v>47</v>
      </c>
    </row>
    <row r="167" spans="1:13" x14ac:dyDescent="0.3">
      <c r="A167" t="s">
        <v>384</v>
      </c>
      <c r="B167" t="s">
        <v>385</v>
      </c>
      <c r="C167" t="s">
        <v>45</v>
      </c>
      <c r="D167" t="s">
        <v>116</v>
      </c>
      <c r="E167" t="s">
        <v>17</v>
      </c>
      <c r="F167" t="s">
        <v>27</v>
      </c>
      <c r="G167" t="s">
        <v>28</v>
      </c>
      <c r="H167" t="s">
        <v>64</v>
      </c>
      <c r="I167">
        <v>1756</v>
      </c>
      <c r="J167">
        <v>4</v>
      </c>
      <c r="K167">
        <v>4</v>
      </c>
      <c r="L167">
        <v>1</v>
      </c>
      <c r="M167" t="s">
        <v>80</v>
      </c>
    </row>
    <row r="168" spans="1:13" x14ac:dyDescent="0.3">
      <c r="A168" t="s">
        <v>386</v>
      </c>
      <c r="B168" t="s">
        <v>387</v>
      </c>
      <c r="C168" t="s">
        <v>112</v>
      </c>
      <c r="D168" t="s">
        <v>16</v>
      </c>
      <c r="E168" t="s">
        <v>17</v>
      </c>
      <c r="F168" t="s">
        <v>27</v>
      </c>
      <c r="G168" t="s">
        <v>28</v>
      </c>
      <c r="H168" t="s">
        <v>20</v>
      </c>
      <c r="I168">
        <v>2268</v>
      </c>
      <c r="J168">
        <v>7</v>
      </c>
      <c r="K168">
        <v>5</v>
      </c>
      <c r="L168">
        <v>1</v>
      </c>
      <c r="M168" t="s">
        <v>65</v>
      </c>
    </row>
    <row r="169" spans="1:13" x14ac:dyDescent="0.3">
      <c r="A169" t="s">
        <v>388</v>
      </c>
      <c r="B169" t="s">
        <v>373</v>
      </c>
      <c r="C169" t="s">
        <v>50</v>
      </c>
      <c r="D169" t="s">
        <v>16</v>
      </c>
      <c r="E169" t="s">
        <v>17</v>
      </c>
      <c r="F169" t="s">
        <v>18</v>
      </c>
      <c r="G169" t="s">
        <v>104</v>
      </c>
      <c r="H169" t="s">
        <v>64</v>
      </c>
      <c r="I169">
        <v>2379</v>
      </c>
      <c r="J169">
        <v>3</v>
      </c>
      <c r="K169">
        <v>4.7</v>
      </c>
      <c r="L169">
        <v>5</v>
      </c>
      <c r="M169" t="s">
        <v>65</v>
      </c>
    </row>
    <row r="170" spans="1:13" x14ac:dyDescent="0.3">
      <c r="A170" t="s">
        <v>389</v>
      </c>
      <c r="B170" t="s">
        <v>298</v>
      </c>
      <c r="C170" t="s">
        <v>33</v>
      </c>
      <c r="D170" t="s">
        <v>159</v>
      </c>
      <c r="E170" t="s">
        <v>42</v>
      </c>
      <c r="F170" t="s">
        <v>27</v>
      </c>
      <c r="G170" t="s">
        <v>54</v>
      </c>
      <c r="H170" t="s">
        <v>20</v>
      </c>
      <c r="I170">
        <v>5860</v>
      </c>
      <c r="J170">
        <v>4</v>
      </c>
      <c r="K170">
        <v>3.9</v>
      </c>
      <c r="L170">
        <v>8</v>
      </c>
      <c r="M170" t="s">
        <v>119</v>
      </c>
    </row>
    <row r="171" spans="1:13" x14ac:dyDescent="0.3">
      <c r="A171" t="s">
        <v>390</v>
      </c>
      <c r="B171" t="s">
        <v>391</v>
      </c>
      <c r="C171" t="s">
        <v>103</v>
      </c>
      <c r="D171" t="s">
        <v>116</v>
      </c>
      <c r="E171" t="s">
        <v>17</v>
      </c>
      <c r="F171" t="s">
        <v>18</v>
      </c>
      <c r="G171" t="s">
        <v>54</v>
      </c>
      <c r="H171" t="s">
        <v>29</v>
      </c>
      <c r="I171">
        <v>8748</v>
      </c>
      <c r="J171">
        <v>6</v>
      </c>
      <c r="K171">
        <v>3.6</v>
      </c>
      <c r="L171">
        <v>8</v>
      </c>
      <c r="M171" t="s">
        <v>47</v>
      </c>
    </row>
    <row r="172" spans="1:13" x14ac:dyDescent="0.3">
      <c r="A172" t="s">
        <v>392</v>
      </c>
      <c r="B172" t="s">
        <v>393</v>
      </c>
      <c r="C172" t="s">
        <v>24</v>
      </c>
      <c r="D172" t="s">
        <v>25</v>
      </c>
      <c r="E172" t="s">
        <v>26</v>
      </c>
      <c r="F172" t="s">
        <v>100</v>
      </c>
      <c r="G172" t="s">
        <v>19</v>
      </c>
      <c r="H172" t="s">
        <v>64</v>
      </c>
      <c r="I172">
        <v>43950</v>
      </c>
      <c r="J172">
        <v>6</v>
      </c>
      <c r="K172">
        <v>4.9000000000000004</v>
      </c>
      <c r="L172">
        <v>5</v>
      </c>
      <c r="M172" t="s">
        <v>37</v>
      </c>
    </row>
    <row r="173" spans="1:13" x14ac:dyDescent="0.3">
      <c r="A173" t="s">
        <v>394</v>
      </c>
      <c r="B173" t="s">
        <v>352</v>
      </c>
      <c r="C173" t="s">
        <v>75</v>
      </c>
      <c r="D173" t="s">
        <v>59</v>
      </c>
      <c r="E173" t="s">
        <v>26</v>
      </c>
      <c r="F173" t="s">
        <v>53</v>
      </c>
      <c r="G173" t="s">
        <v>28</v>
      </c>
      <c r="H173" t="s">
        <v>29</v>
      </c>
      <c r="I173">
        <v>5037</v>
      </c>
      <c r="J173">
        <v>3</v>
      </c>
      <c r="K173">
        <v>3.4</v>
      </c>
      <c r="L173">
        <v>4</v>
      </c>
      <c r="M173" t="s">
        <v>55</v>
      </c>
    </row>
    <row r="174" spans="1:13" x14ac:dyDescent="0.3">
      <c r="A174" t="s">
        <v>395</v>
      </c>
      <c r="B174" t="s">
        <v>396</v>
      </c>
      <c r="C174" t="s">
        <v>75</v>
      </c>
      <c r="D174" t="s">
        <v>218</v>
      </c>
      <c r="E174" t="s">
        <v>17</v>
      </c>
      <c r="F174" t="s">
        <v>100</v>
      </c>
      <c r="G174" t="s">
        <v>104</v>
      </c>
      <c r="H174" t="s">
        <v>20</v>
      </c>
      <c r="I174">
        <v>6136</v>
      </c>
      <c r="J174">
        <v>8</v>
      </c>
      <c r="K174">
        <v>3.5</v>
      </c>
      <c r="L174">
        <v>7</v>
      </c>
      <c r="M174" t="s">
        <v>47</v>
      </c>
    </row>
    <row r="175" spans="1:13" x14ac:dyDescent="0.3">
      <c r="A175" t="s">
        <v>397</v>
      </c>
      <c r="B175" t="s">
        <v>398</v>
      </c>
      <c r="C175" t="s">
        <v>40</v>
      </c>
      <c r="D175" t="s">
        <v>16</v>
      </c>
      <c r="E175" t="s">
        <v>17</v>
      </c>
      <c r="F175" t="s">
        <v>60</v>
      </c>
      <c r="G175" t="s">
        <v>104</v>
      </c>
      <c r="H175" t="s">
        <v>29</v>
      </c>
      <c r="I175">
        <v>3234</v>
      </c>
      <c r="J175">
        <v>3</v>
      </c>
      <c r="K175">
        <v>3.4</v>
      </c>
      <c r="L175">
        <v>1</v>
      </c>
      <c r="M175" t="s">
        <v>21</v>
      </c>
    </row>
    <row r="176" spans="1:13" x14ac:dyDescent="0.3">
      <c r="A176" t="s">
        <v>399</v>
      </c>
      <c r="B176" t="s">
        <v>400</v>
      </c>
      <c r="C176" t="s">
        <v>75</v>
      </c>
      <c r="D176" t="s">
        <v>86</v>
      </c>
      <c r="E176" t="s">
        <v>17</v>
      </c>
      <c r="F176" t="s">
        <v>53</v>
      </c>
      <c r="G176" t="s">
        <v>54</v>
      </c>
      <c r="H176" t="s">
        <v>29</v>
      </c>
      <c r="I176">
        <v>3546</v>
      </c>
      <c r="J176">
        <v>3</v>
      </c>
      <c r="K176">
        <v>3.9</v>
      </c>
      <c r="L176">
        <v>1</v>
      </c>
      <c r="M176" t="s">
        <v>87</v>
      </c>
    </row>
    <row r="177" spans="1:13" x14ac:dyDescent="0.3">
      <c r="A177" t="s">
        <v>401</v>
      </c>
      <c r="B177" t="s">
        <v>402</v>
      </c>
      <c r="C177" t="s">
        <v>24</v>
      </c>
      <c r="D177" t="s">
        <v>41</v>
      </c>
      <c r="E177" t="s">
        <v>42</v>
      </c>
      <c r="F177" t="s">
        <v>83</v>
      </c>
      <c r="G177" t="s">
        <v>104</v>
      </c>
      <c r="H177" t="s">
        <v>29</v>
      </c>
      <c r="I177">
        <v>18816</v>
      </c>
      <c r="J177">
        <v>7</v>
      </c>
      <c r="K177">
        <v>4.0999999999999996</v>
      </c>
      <c r="L177">
        <v>7</v>
      </c>
      <c r="M177" t="s">
        <v>21</v>
      </c>
    </row>
    <row r="178" spans="1:13" x14ac:dyDescent="0.3">
      <c r="A178" t="s">
        <v>403</v>
      </c>
      <c r="B178" t="s">
        <v>404</v>
      </c>
      <c r="C178" t="s">
        <v>129</v>
      </c>
      <c r="D178" t="s">
        <v>97</v>
      </c>
      <c r="E178" t="s">
        <v>35</v>
      </c>
      <c r="F178" t="s">
        <v>53</v>
      </c>
      <c r="G178" t="s">
        <v>19</v>
      </c>
      <c r="H178" t="s">
        <v>64</v>
      </c>
      <c r="I178">
        <v>77340</v>
      </c>
      <c r="J178">
        <v>2</v>
      </c>
      <c r="K178">
        <v>4.0999999999999996</v>
      </c>
      <c r="L178">
        <v>2</v>
      </c>
      <c r="M178" t="s">
        <v>80</v>
      </c>
    </row>
    <row r="179" spans="1:13" x14ac:dyDescent="0.3">
      <c r="A179" t="s">
        <v>405</v>
      </c>
      <c r="B179" t="s">
        <v>406</v>
      </c>
      <c r="C179" t="s">
        <v>170</v>
      </c>
      <c r="D179" t="s">
        <v>79</v>
      </c>
      <c r="E179" t="s">
        <v>26</v>
      </c>
      <c r="F179" t="s">
        <v>60</v>
      </c>
      <c r="G179" t="s">
        <v>104</v>
      </c>
      <c r="H179" t="s">
        <v>64</v>
      </c>
      <c r="I179">
        <v>12486</v>
      </c>
      <c r="J179">
        <v>2</v>
      </c>
      <c r="K179">
        <v>4.7</v>
      </c>
      <c r="L179">
        <v>7</v>
      </c>
      <c r="M179" t="s">
        <v>47</v>
      </c>
    </row>
    <row r="180" spans="1:13" x14ac:dyDescent="0.3">
      <c r="A180" t="s">
        <v>407</v>
      </c>
      <c r="B180" t="s">
        <v>408</v>
      </c>
      <c r="C180" t="s">
        <v>40</v>
      </c>
      <c r="D180" t="s">
        <v>79</v>
      </c>
      <c r="E180" t="s">
        <v>26</v>
      </c>
      <c r="F180" t="s">
        <v>27</v>
      </c>
      <c r="G180" t="s">
        <v>28</v>
      </c>
      <c r="H180" t="s">
        <v>20</v>
      </c>
      <c r="I180">
        <v>22260</v>
      </c>
      <c r="J180">
        <v>6</v>
      </c>
      <c r="K180">
        <v>4.9000000000000004</v>
      </c>
      <c r="L180">
        <v>6</v>
      </c>
      <c r="M180" t="s">
        <v>126</v>
      </c>
    </row>
    <row r="181" spans="1:13" x14ac:dyDescent="0.3">
      <c r="A181" t="s">
        <v>409</v>
      </c>
      <c r="B181" t="s">
        <v>237</v>
      </c>
      <c r="C181" t="s">
        <v>78</v>
      </c>
      <c r="D181" t="s">
        <v>97</v>
      </c>
      <c r="E181" t="s">
        <v>35</v>
      </c>
      <c r="F181" t="s">
        <v>18</v>
      </c>
      <c r="G181" t="s">
        <v>28</v>
      </c>
      <c r="H181" t="s">
        <v>20</v>
      </c>
      <c r="I181">
        <v>534835</v>
      </c>
      <c r="J181">
        <v>7</v>
      </c>
      <c r="K181">
        <v>5</v>
      </c>
      <c r="L181">
        <v>3</v>
      </c>
      <c r="M181" t="s">
        <v>21</v>
      </c>
    </row>
    <row r="182" spans="1:13" x14ac:dyDescent="0.3">
      <c r="A182" t="s">
        <v>410</v>
      </c>
      <c r="B182" t="s">
        <v>411</v>
      </c>
      <c r="C182" t="s">
        <v>133</v>
      </c>
      <c r="D182" t="s">
        <v>46</v>
      </c>
      <c r="E182" t="s">
        <v>42</v>
      </c>
      <c r="F182" t="s">
        <v>60</v>
      </c>
      <c r="G182" t="s">
        <v>54</v>
      </c>
      <c r="H182" t="s">
        <v>64</v>
      </c>
      <c r="I182">
        <v>11776</v>
      </c>
      <c r="J182">
        <v>2</v>
      </c>
      <c r="K182">
        <v>3.6</v>
      </c>
      <c r="L182">
        <v>3</v>
      </c>
      <c r="M182" t="s">
        <v>119</v>
      </c>
    </row>
    <row r="183" spans="1:13" x14ac:dyDescent="0.3">
      <c r="A183" t="s">
        <v>412</v>
      </c>
      <c r="B183" t="s">
        <v>413</v>
      </c>
      <c r="C183" t="s">
        <v>78</v>
      </c>
      <c r="D183" t="s">
        <v>69</v>
      </c>
      <c r="E183" t="s">
        <v>26</v>
      </c>
      <c r="F183" t="s">
        <v>100</v>
      </c>
      <c r="G183" t="s">
        <v>54</v>
      </c>
      <c r="H183" t="s">
        <v>36</v>
      </c>
      <c r="I183">
        <v>9814</v>
      </c>
      <c r="J183">
        <v>7</v>
      </c>
      <c r="K183">
        <v>4.5999999999999996</v>
      </c>
      <c r="L183">
        <v>6</v>
      </c>
      <c r="M183" t="s">
        <v>30</v>
      </c>
    </row>
    <row r="184" spans="1:13" x14ac:dyDescent="0.3">
      <c r="A184" t="s">
        <v>414</v>
      </c>
      <c r="B184" t="s">
        <v>415</v>
      </c>
      <c r="C184" t="s">
        <v>122</v>
      </c>
      <c r="D184" t="s">
        <v>109</v>
      </c>
      <c r="E184" t="s">
        <v>52</v>
      </c>
      <c r="F184" t="s">
        <v>100</v>
      </c>
      <c r="G184" t="s">
        <v>19</v>
      </c>
      <c r="H184" t="s">
        <v>64</v>
      </c>
      <c r="I184">
        <v>1886</v>
      </c>
      <c r="J184">
        <v>1</v>
      </c>
      <c r="K184">
        <v>3.2</v>
      </c>
      <c r="L184">
        <v>5</v>
      </c>
      <c r="M184" t="s">
        <v>80</v>
      </c>
    </row>
    <row r="185" spans="1:13" x14ac:dyDescent="0.3">
      <c r="A185" t="s">
        <v>416</v>
      </c>
      <c r="B185" t="s">
        <v>172</v>
      </c>
      <c r="C185" t="s">
        <v>68</v>
      </c>
      <c r="D185" t="s">
        <v>97</v>
      </c>
      <c r="E185" t="s">
        <v>35</v>
      </c>
      <c r="F185" t="s">
        <v>27</v>
      </c>
      <c r="G185" t="s">
        <v>19</v>
      </c>
      <c r="H185" t="s">
        <v>29</v>
      </c>
      <c r="I185">
        <v>197331</v>
      </c>
      <c r="J185">
        <v>3</v>
      </c>
      <c r="K185">
        <v>3.9</v>
      </c>
      <c r="L185">
        <v>2</v>
      </c>
      <c r="M185" t="s">
        <v>47</v>
      </c>
    </row>
    <row r="186" spans="1:13" x14ac:dyDescent="0.3">
      <c r="A186" t="s">
        <v>417</v>
      </c>
      <c r="B186" t="s">
        <v>418</v>
      </c>
      <c r="C186" t="s">
        <v>170</v>
      </c>
      <c r="D186" t="s">
        <v>130</v>
      </c>
      <c r="E186" t="s">
        <v>35</v>
      </c>
      <c r="F186" t="s">
        <v>18</v>
      </c>
      <c r="G186" t="s">
        <v>104</v>
      </c>
      <c r="H186" t="s">
        <v>36</v>
      </c>
      <c r="I186">
        <v>192608</v>
      </c>
      <c r="J186">
        <v>4</v>
      </c>
      <c r="K186">
        <v>4</v>
      </c>
      <c r="L186">
        <v>8</v>
      </c>
      <c r="M186" t="s">
        <v>47</v>
      </c>
    </row>
    <row r="187" spans="1:13" x14ac:dyDescent="0.3">
      <c r="A187" t="s">
        <v>419</v>
      </c>
      <c r="B187" t="s">
        <v>420</v>
      </c>
      <c r="C187" t="s">
        <v>78</v>
      </c>
      <c r="D187" t="s">
        <v>16</v>
      </c>
      <c r="E187" t="s">
        <v>17</v>
      </c>
      <c r="F187" t="s">
        <v>60</v>
      </c>
      <c r="G187" t="s">
        <v>28</v>
      </c>
      <c r="H187" t="s">
        <v>20</v>
      </c>
      <c r="I187">
        <v>3372</v>
      </c>
      <c r="J187">
        <v>2</v>
      </c>
      <c r="K187">
        <v>4.2</v>
      </c>
      <c r="L187">
        <v>6</v>
      </c>
      <c r="M187" t="s">
        <v>126</v>
      </c>
    </row>
    <row r="188" spans="1:13" x14ac:dyDescent="0.3">
      <c r="A188" t="s">
        <v>421</v>
      </c>
      <c r="B188" t="s">
        <v>422</v>
      </c>
      <c r="C188" t="s">
        <v>15</v>
      </c>
      <c r="D188" t="s">
        <v>159</v>
      </c>
      <c r="E188" t="s">
        <v>42</v>
      </c>
      <c r="F188" t="s">
        <v>27</v>
      </c>
      <c r="G188" t="s">
        <v>19</v>
      </c>
      <c r="H188" t="s">
        <v>20</v>
      </c>
      <c r="I188">
        <v>16212</v>
      </c>
      <c r="J188">
        <v>7</v>
      </c>
      <c r="K188">
        <v>4.3</v>
      </c>
      <c r="L188">
        <v>7</v>
      </c>
      <c r="M188" t="s">
        <v>37</v>
      </c>
    </row>
    <row r="189" spans="1:13" x14ac:dyDescent="0.3">
      <c r="A189" t="s">
        <v>423</v>
      </c>
      <c r="B189" t="s">
        <v>424</v>
      </c>
      <c r="C189" t="s">
        <v>125</v>
      </c>
      <c r="D189" t="s">
        <v>113</v>
      </c>
      <c r="E189" t="s">
        <v>35</v>
      </c>
      <c r="F189" t="s">
        <v>100</v>
      </c>
      <c r="G189" t="s">
        <v>104</v>
      </c>
      <c r="H189" t="s">
        <v>64</v>
      </c>
      <c r="I189">
        <v>100890</v>
      </c>
      <c r="J189">
        <v>2</v>
      </c>
      <c r="K189">
        <v>4</v>
      </c>
      <c r="L189">
        <v>5</v>
      </c>
      <c r="M189" t="s">
        <v>30</v>
      </c>
    </row>
    <row r="190" spans="1:13" x14ac:dyDescent="0.3">
      <c r="A190" t="s">
        <v>425</v>
      </c>
      <c r="B190" t="s">
        <v>222</v>
      </c>
      <c r="C190" t="s">
        <v>45</v>
      </c>
      <c r="D190" t="s">
        <v>69</v>
      </c>
      <c r="E190" t="s">
        <v>26</v>
      </c>
      <c r="F190" t="s">
        <v>100</v>
      </c>
      <c r="G190" t="s">
        <v>54</v>
      </c>
      <c r="H190" t="s">
        <v>20</v>
      </c>
      <c r="I190">
        <v>7252</v>
      </c>
      <c r="J190">
        <v>2</v>
      </c>
      <c r="K190">
        <v>4.7</v>
      </c>
      <c r="L190">
        <v>5</v>
      </c>
      <c r="M190" t="s">
        <v>30</v>
      </c>
    </row>
    <row r="191" spans="1:13" x14ac:dyDescent="0.3">
      <c r="A191" t="s">
        <v>426</v>
      </c>
      <c r="B191" t="s">
        <v>427</v>
      </c>
      <c r="C191" t="s">
        <v>58</v>
      </c>
      <c r="D191" t="s">
        <v>113</v>
      </c>
      <c r="E191" t="s">
        <v>35</v>
      </c>
      <c r="F191" t="s">
        <v>60</v>
      </c>
      <c r="G191" t="s">
        <v>28</v>
      </c>
      <c r="H191" t="s">
        <v>20</v>
      </c>
      <c r="I191">
        <v>257145</v>
      </c>
      <c r="J191">
        <v>5</v>
      </c>
      <c r="K191">
        <v>3.9</v>
      </c>
      <c r="L191">
        <v>3</v>
      </c>
      <c r="M191" t="s">
        <v>21</v>
      </c>
    </row>
    <row r="192" spans="1:13" x14ac:dyDescent="0.3">
      <c r="A192" t="s">
        <v>428</v>
      </c>
      <c r="B192" t="s">
        <v>429</v>
      </c>
      <c r="C192" t="s">
        <v>129</v>
      </c>
      <c r="D192" t="s">
        <v>159</v>
      </c>
      <c r="E192" t="s">
        <v>42</v>
      </c>
      <c r="F192" t="s">
        <v>18</v>
      </c>
      <c r="G192" t="s">
        <v>28</v>
      </c>
      <c r="H192" t="s">
        <v>20</v>
      </c>
      <c r="I192">
        <v>6696</v>
      </c>
      <c r="J192">
        <v>3</v>
      </c>
      <c r="K192">
        <v>4.7</v>
      </c>
      <c r="L192">
        <v>1</v>
      </c>
      <c r="M192" t="s">
        <v>30</v>
      </c>
    </row>
    <row r="193" spans="1:13" x14ac:dyDescent="0.3">
      <c r="A193" t="s">
        <v>430</v>
      </c>
      <c r="B193" t="s">
        <v>23</v>
      </c>
      <c r="C193" t="s">
        <v>122</v>
      </c>
      <c r="D193" t="s">
        <v>51</v>
      </c>
      <c r="E193" t="s">
        <v>52</v>
      </c>
      <c r="F193" t="s">
        <v>53</v>
      </c>
      <c r="G193" t="s">
        <v>54</v>
      </c>
      <c r="H193" t="s">
        <v>29</v>
      </c>
      <c r="I193">
        <v>18112</v>
      </c>
      <c r="J193">
        <v>8</v>
      </c>
      <c r="K193">
        <v>3.5</v>
      </c>
      <c r="L193">
        <v>1</v>
      </c>
      <c r="M193" t="s">
        <v>30</v>
      </c>
    </row>
    <row r="194" spans="1:13" x14ac:dyDescent="0.3">
      <c r="A194" t="s">
        <v>431</v>
      </c>
      <c r="B194" t="s">
        <v>432</v>
      </c>
      <c r="C194" t="s">
        <v>78</v>
      </c>
      <c r="D194" t="s">
        <v>109</v>
      </c>
      <c r="E194" t="s">
        <v>52</v>
      </c>
      <c r="F194" t="s">
        <v>53</v>
      </c>
      <c r="G194" t="s">
        <v>54</v>
      </c>
      <c r="H194" t="s">
        <v>64</v>
      </c>
      <c r="I194">
        <v>18224</v>
      </c>
      <c r="J194">
        <v>8</v>
      </c>
      <c r="K194">
        <v>4.2</v>
      </c>
      <c r="L194">
        <v>5</v>
      </c>
      <c r="M194" t="s">
        <v>80</v>
      </c>
    </row>
    <row r="195" spans="1:13" x14ac:dyDescent="0.3">
      <c r="A195" t="s">
        <v>433</v>
      </c>
      <c r="B195" t="s">
        <v>434</v>
      </c>
      <c r="C195" t="s">
        <v>146</v>
      </c>
      <c r="D195" t="s">
        <v>79</v>
      </c>
      <c r="E195" t="s">
        <v>26</v>
      </c>
      <c r="F195" t="s">
        <v>18</v>
      </c>
      <c r="G195" t="s">
        <v>19</v>
      </c>
      <c r="H195" t="s">
        <v>20</v>
      </c>
      <c r="I195">
        <v>16336</v>
      </c>
      <c r="J195">
        <v>2</v>
      </c>
      <c r="K195">
        <v>3.7</v>
      </c>
      <c r="L195">
        <v>2</v>
      </c>
      <c r="M195" t="s">
        <v>47</v>
      </c>
    </row>
    <row r="196" spans="1:13" x14ac:dyDescent="0.3">
      <c r="A196" t="s">
        <v>435</v>
      </c>
      <c r="B196" t="s">
        <v>436</v>
      </c>
      <c r="C196" t="s">
        <v>45</v>
      </c>
      <c r="D196" t="s">
        <v>59</v>
      </c>
      <c r="E196" t="s">
        <v>26</v>
      </c>
      <c r="F196" t="s">
        <v>100</v>
      </c>
      <c r="G196" t="s">
        <v>19</v>
      </c>
      <c r="H196" t="s">
        <v>29</v>
      </c>
      <c r="I196">
        <v>12404</v>
      </c>
      <c r="J196">
        <v>7</v>
      </c>
      <c r="K196">
        <v>4.2</v>
      </c>
      <c r="L196">
        <v>5</v>
      </c>
      <c r="M196" t="s">
        <v>119</v>
      </c>
    </row>
    <row r="197" spans="1:13" x14ac:dyDescent="0.3">
      <c r="A197" t="s">
        <v>437</v>
      </c>
      <c r="B197" t="s">
        <v>252</v>
      </c>
      <c r="C197" t="s">
        <v>72</v>
      </c>
      <c r="D197" t="s">
        <v>130</v>
      </c>
      <c r="E197" t="s">
        <v>35</v>
      </c>
      <c r="F197" t="s">
        <v>83</v>
      </c>
      <c r="G197" t="s">
        <v>19</v>
      </c>
      <c r="H197" t="s">
        <v>29</v>
      </c>
      <c r="I197">
        <v>101355</v>
      </c>
      <c r="J197">
        <v>5</v>
      </c>
      <c r="K197">
        <v>5</v>
      </c>
      <c r="L197">
        <v>3</v>
      </c>
      <c r="M197" t="s">
        <v>30</v>
      </c>
    </row>
    <row r="198" spans="1:13" x14ac:dyDescent="0.3">
      <c r="A198" t="s">
        <v>438</v>
      </c>
      <c r="B198" t="s">
        <v>74</v>
      </c>
      <c r="C198" t="s">
        <v>50</v>
      </c>
      <c r="D198" t="s">
        <v>51</v>
      </c>
      <c r="E198" t="s">
        <v>52</v>
      </c>
      <c r="F198" t="s">
        <v>100</v>
      </c>
      <c r="G198" t="s">
        <v>104</v>
      </c>
      <c r="H198" t="s">
        <v>29</v>
      </c>
      <c r="I198">
        <v>4050</v>
      </c>
      <c r="J198">
        <v>3</v>
      </c>
      <c r="K198">
        <v>4</v>
      </c>
      <c r="L198">
        <v>2</v>
      </c>
      <c r="M198" t="s">
        <v>65</v>
      </c>
    </row>
    <row r="199" spans="1:13" x14ac:dyDescent="0.3">
      <c r="A199" t="s">
        <v>439</v>
      </c>
      <c r="B199" t="s">
        <v>440</v>
      </c>
      <c r="C199" t="s">
        <v>78</v>
      </c>
      <c r="D199" t="s">
        <v>90</v>
      </c>
      <c r="E199" t="s">
        <v>42</v>
      </c>
      <c r="F199" t="s">
        <v>60</v>
      </c>
      <c r="G199" t="s">
        <v>19</v>
      </c>
      <c r="H199" t="s">
        <v>64</v>
      </c>
      <c r="I199">
        <v>5900</v>
      </c>
      <c r="J199">
        <v>1</v>
      </c>
      <c r="K199">
        <v>4.5</v>
      </c>
      <c r="L199">
        <v>2</v>
      </c>
      <c r="M199" t="s">
        <v>126</v>
      </c>
    </row>
    <row r="200" spans="1:13" x14ac:dyDescent="0.3">
      <c r="A200" t="s">
        <v>441</v>
      </c>
      <c r="B200" t="s">
        <v>398</v>
      </c>
      <c r="C200" t="s">
        <v>170</v>
      </c>
      <c r="D200" t="s">
        <v>51</v>
      </c>
      <c r="E200" t="s">
        <v>52</v>
      </c>
      <c r="F200" t="s">
        <v>27</v>
      </c>
      <c r="G200" t="s">
        <v>54</v>
      </c>
      <c r="H200" t="s">
        <v>36</v>
      </c>
      <c r="I200">
        <v>9798</v>
      </c>
      <c r="J200">
        <v>6</v>
      </c>
      <c r="K200">
        <v>4.2</v>
      </c>
      <c r="L200">
        <v>8</v>
      </c>
      <c r="M200" t="s">
        <v>21</v>
      </c>
    </row>
    <row r="201" spans="1:13" x14ac:dyDescent="0.3">
      <c r="A201" t="s">
        <v>442</v>
      </c>
      <c r="B201" t="s">
        <v>296</v>
      </c>
      <c r="C201" t="s">
        <v>40</v>
      </c>
      <c r="D201" t="s">
        <v>116</v>
      </c>
      <c r="E201" t="s">
        <v>17</v>
      </c>
      <c r="F201" t="s">
        <v>83</v>
      </c>
      <c r="G201" t="s">
        <v>104</v>
      </c>
      <c r="H201" t="s">
        <v>36</v>
      </c>
      <c r="I201">
        <v>1246</v>
      </c>
      <c r="J201">
        <v>2</v>
      </c>
      <c r="K201">
        <v>3.6</v>
      </c>
      <c r="L201">
        <v>3</v>
      </c>
      <c r="M201" t="s">
        <v>144</v>
      </c>
    </row>
    <row r="202" spans="1:13" x14ac:dyDescent="0.3">
      <c r="A202" t="s">
        <v>443</v>
      </c>
      <c r="B202" t="s">
        <v>444</v>
      </c>
      <c r="C202" t="s">
        <v>133</v>
      </c>
      <c r="D202" t="s">
        <v>130</v>
      </c>
      <c r="E202" t="s">
        <v>35</v>
      </c>
      <c r="F202" t="s">
        <v>27</v>
      </c>
      <c r="G202" t="s">
        <v>54</v>
      </c>
      <c r="H202" t="s">
        <v>36</v>
      </c>
      <c r="I202">
        <v>55722</v>
      </c>
      <c r="J202">
        <v>6</v>
      </c>
      <c r="K202">
        <v>3.7</v>
      </c>
      <c r="L202">
        <v>4</v>
      </c>
      <c r="M202" t="s">
        <v>87</v>
      </c>
    </row>
    <row r="203" spans="1:13" x14ac:dyDescent="0.3">
      <c r="A203" t="s">
        <v>445</v>
      </c>
      <c r="B203" t="s">
        <v>446</v>
      </c>
      <c r="C203" t="s">
        <v>68</v>
      </c>
      <c r="D203" t="s">
        <v>86</v>
      </c>
      <c r="E203" t="s">
        <v>17</v>
      </c>
      <c r="F203" t="s">
        <v>60</v>
      </c>
      <c r="G203" t="s">
        <v>19</v>
      </c>
      <c r="H203" t="s">
        <v>64</v>
      </c>
      <c r="I203">
        <v>1142</v>
      </c>
      <c r="J203">
        <v>2</v>
      </c>
      <c r="K203">
        <v>3.2</v>
      </c>
      <c r="L203">
        <v>6</v>
      </c>
      <c r="M203" t="s">
        <v>65</v>
      </c>
    </row>
    <row r="204" spans="1:13" x14ac:dyDescent="0.3">
      <c r="A204" t="s">
        <v>447</v>
      </c>
      <c r="B204" t="s">
        <v>352</v>
      </c>
      <c r="C204" t="s">
        <v>50</v>
      </c>
      <c r="D204" t="s">
        <v>86</v>
      </c>
      <c r="E204" t="s">
        <v>17</v>
      </c>
      <c r="F204" t="s">
        <v>83</v>
      </c>
      <c r="G204" t="s">
        <v>19</v>
      </c>
      <c r="H204" t="s">
        <v>36</v>
      </c>
      <c r="I204">
        <v>3592</v>
      </c>
      <c r="J204">
        <v>2</v>
      </c>
      <c r="K204">
        <v>4.8</v>
      </c>
      <c r="L204">
        <v>3</v>
      </c>
      <c r="M204" t="s">
        <v>55</v>
      </c>
    </row>
    <row r="205" spans="1:13" x14ac:dyDescent="0.3">
      <c r="A205" t="s">
        <v>448</v>
      </c>
      <c r="B205" t="s">
        <v>233</v>
      </c>
      <c r="C205" t="s">
        <v>179</v>
      </c>
      <c r="D205" t="s">
        <v>25</v>
      </c>
      <c r="E205" t="s">
        <v>26</v>
      </c>
      <c r="F205" t="s">
        <v>18</v>
      </c>
      <c r="G205" t="s">
        <v>54</v>
      </c>
      <c r="H205" t="s">
        <v>20</v>
      </c>
      <c r="I205">
        <v>9840</v>
      </c>
      <c r="J205">
        <v>3</v>
      </c>
      <c r="K205">
        <v>4.9000000000000004</v>
      </c>
      <c r="L205">
        <v>8</v>
      </c>
      <c r="M205" t="s">
        <v>192</v>
      </c>
    </row>
    <row r="206" spans="1:13" x14ac:dyDescent="0.3">
      <c r="A206" t="s">
        <v>449</v>
      </c>
      <c r="B206" t="s">
        <v>450</v>
      </c>
      <c r="C206" t="s">
        <v>15</v>
      </c>
      <c r="D206" t="s">
        <v>116</v>
      </c>
      <c r="E206" t="s">
        <v>17</v>
      </c>
      <c r="F206" t="s">
        <v>27</v>
      </c>
      <c r="G206" t="s">
        <v>104</v>
      </c>
      <c r="H206" t="s">
        <v>20</v>
      </c>
      <c r="I206">
        <v>6608</v>
      </c>
      <c r="J206">
        <v>7</v>
      </c>
      <c r="K206">
        <v>3.4</v>
      </c>
      <c r="L206">
        <v>5</v>
      </c>
      <c r="M206" t="s">
        <v>126</v>
      </c>
    </row>
    <row r="207" spans="1:13" x14ac:dyDescent="0.3">
      <c r="A207" t="s">
        <v>451</v>
      </c>
      <c r="B207" t="s">
        <v>452</v>
      </c>
      <c r="C207" t="s">
        <v>45</v>
      </c>
      <c r="D207" t="s">
        <v>79</v>
      </c>
      <c r="E207" t="s">
        <v>26</v>
      </c>
      <c r="F207" t="s">
        <v>18</v>
      </c>
      <c r="G207" t="s">
        <v>54</v>
      </c>
      <c r="H207" t="s">
        <v>29</v>
      </c>
      <c r="I207">
        <v>35610</v>
      </c>
      <c r="J207">
        <v>5</v>
      </c>
      <c r="K207">
        <v>3.4</v>
      </c>
      <c r="L207">
        <v>8</v>
      </c>
      <c r="M207" t="s">
        <v>55</v>
      </c>
    </row>
    <row r="208" spans="1:13" x14ac:dyDescent="0.3">
      <c r="A208" t="s">
        <v>453</v>
      </c>
      <c r="B208" t="s">
        <v>454</v>
      </c>
      <c r="C208" t="s">
        <v>15</v>
      </c>
      <c r="D208" t="s">
        <v>34</v>
      </c>
      <c r="E208" t="s">
        <v>35</v>
      </c>
      <c r="F208" t="s">
        <v>53</v>
      </c>
      <c r="G208" t="s">
        <v>19</v>
      </c>
      <c r="H208" t="s">
        <v>36</v>
      </c>
      <c r="I208">
        <v>176015</v>
      </c>
      <c r="J208">
        <v>7</v>
      </c>
      <c r="K208">
        <v>3.2</v>
      </c>
      <c r="L208">
        <v>2</v>
      </c>
      <c r="M208" t="s">
        <v>55</v>
      </c>
    </row>
    <row r="209" spans="1:13" x14ac:dyDescent="0.3">
      <c r="A209" t="s">
        <v>455</v>
      </c>
      <c r="B209" t="s">
        <v>456</v>
      </c>
      <c r="C209" t="s">
        <v>103</v>
      </c>
      <c r="D209" t="s">
        <v>116</v>
      </c>
      <c r="E209" t="s">
        <v>17</v>
      </c>
      <c r="F209" t="s">
        <v>18</v>
      </c>
      <c r="G209" t="s">
        <v>104</v>
      </c>
      <c r="H209" t="s">
        <v>36</v>
      </c>
      <c r="I209">
        <v>7935</v>
      </c>
      <c r="J209">
        <v>5</v>
      </c>
      <c r="K209">
        <v>3.3</v>
      </c>
      <c r="L209">
        <v>3</v>
      </c>
      <c r="M209" t="s">
        <v>65</v>
      </c>
    </row>
    <row r="210" spans="1:13" x14ac:dyDescent="0.3">
      <c r="A210" t="s">
        <v>457</v>
      </c>
      <c r="B210" t="s">
        <v>458</v>
      </c>
      <c r="C210" t="s">
        <v>133</v>
      </c>
      <c r="D210" t="s">
        <v>79</v>
      </c>
      <c r="E210" t="s">
        <v>26</v>
      </c>
      <c r="F210" t="s">
        <v>18</v>
      </c>
      <c r="G210" t="s">
        <v>28</v>
      </c>
      <c r="H210" t="s">
        <v>36</v>
      </c>
      <c r="I210">
        <v>28254</v>
      </c>
      <c r="J210">
        <v>6</v>
      </c>
      <c r="K210">
        <v>3.3</v>
      </c>
      <c r="L210">
        <v>2</v>
      </c>
      <c r="M210" t="s">
        <v>80</v>
      </c>
    </row>
    <row r="211" spans="1:13" x14ac:dyDescent="0.3">
      <c r="A211" t="s">
        <v>459</v>
      </c>
      <c r="B211" t="s">
        <v>460</v>
      </c>
      <c r="C211" t="s">
        <v>24</v>
      </c>
      <c r="D211" t="s">
        <v>34</v>
      </c>
      <c r="E211" t="s">
        <v>35</v>
      </c>
      <c r="F211" t="s">
        <v>53</v>
      </c>
      <c r="G211" t="s">
        <v>19</v>
      </c>
      <c r="H211" t="s">
        <v>29</v>
      </c>
      <c r="I211">
        <v>3987</v>
      </c>
      <c r="J211">
        <v>1</v>
      </c>
      <c r="K211">
        <v>4.9000000000000004</v>
      </c>
      <c r="L211">
        <v>5</v>
      </c>
      <c r="M211" t="s">
        <v>80</v>
      </c>
    </row>
    <row r="212" spans="1:13" x14ac:dyDescent="0.3">
      <c r="A212" t="s">
        <v>461</v>
      </c>
      <c r="B212" t="s">
        <v>462</v>
      </c>
      <c r="C212" t="s">
        <v>146</v>
      </c>
      <c r="D212" t="s">
        <v>16</v>
      </c>
      <c r="E212" t="s">
        <v>17</v>
      </c>
      <c r="F212" t="s">
        <v>100</v>
      </c>
      <c r="G212" t="s">
        <v>104</v>
      </c>
      <c r="H212" t="s">
        <v>36</v>
      </c>
      <c r="I212">
        <v>5999</v>
      </c>
      <c r="J212">
        <v>7</v>
      </c>
      <c r="K212">
        <v>4.3</v>
      </c>
      <c r="L212">
        <v>8</v>
      </c>
      <c r="M212" t="s">
        <v>126</v>
      </c>
    </row>
    <row r="213" spans="1:13" x14ac:dyDescent="0.3">
      <c r="A213" t="s">
        <v>463</v>
      </c>
      <c r="B213" t="s">
        <v>334</v>
      </c>
      <c r="C213" t="s">
        <v>33</v>
      </c>
      <c r="D213" t="s">
        <v>159</v>
      </c>
      <c r="E213" t="s">
        <v>42</v>
      </c>
      <c r="F213" t="s">
        <v>18</v>
      </c>
      <c r="G213" t="s">
        <v>19</v>
      </c>
      <c r="H213" t="s">
        <v>36</v>
      </c>
      <c r="I213">
        <v>4932</v>
      </c>
      <c r="J213">
        <v>3</v>
      </c>
      <c r="K213">
        <v>4.5</v>
      </c>
      <c r="L213">
        <v>1</v>
      </c>
      <c r="M213" t="s">
        <v>55</v>
      </c>
    </row>
    <row r="214" spans="1:13" x14ac:dyDescent="0.3">
      <c r="A214" t="s">
        <v>464</v>
      </c>
      <c r="B214" t="s">
        <v>352</v>
      </c>
      <c r="C214" t="s">
        <v>170</v>
      </c>
      <c r="D214" t="s">
        <v>46</v>
      </c>
      <c r="E214" t="s">
        <v>42</v>
      </c>
      <c r="F214" t="s">
        <v>53</v>
      </c>
      <c r="G214" t="s">
        <v>54</v>
      </c>
      <c r="H214" t="s">
        <v>29</v>
      </c>
      <c r="I214">
        <v>12405</v>
      </c>
      <c r="J214">
        <v>3</v>
      </c>
      <c r="K214">
        <v>3.8</v>
      </c>
      <c r="L214">
        <v>7</v>
      </c>
      <c r="M214" t="s">
        <v>55</v>
      </c>
    </row>
    <row r="215" spans="1:13" x14ac:dyDescent="0.3">
      <c r="A215" t="s">
        <v>465</v>
      </c>
      <c r="B215" t="s">
        <v>393</v>
      </c>
      <c r="C215" t="s">
        <v>170</v>
      </c>
      <c r="D215" t="s">
        <v>16</v>
      </c>
      <c r="E215" t="s">
        <v>17</v>
      </c>
      <c r="F215" t="s">
        <v>18</v>
      </c>
      <c r="G215" t="s">
        <v>28</v>
      </c>
      <c r="H215" t="s">
        <v>36</v>
      </c>
      <c r="I215">
        <v>5424</v>
      </c>
      <c r="J215">
        <v>4</v>
      </c>
      <c r="K215">
        <v>4.8</v>
      </c>
      <c r="L215">
        <v>5</v>
      </c>
      <c r="M215" t="s">
        <v>37</v>
      </c>
    </row>
    <row r="216" spans="1:13" x14ac:dyDescent="0.3">
      <c r="A216" t="s">
        <v>466</v>
      </c>
      <c r="B216" t="s">
        <v>402</v>
      </c>
      <c r="C216" t="s">
        <v>78</v>
      </c>
      <c r="D216" t="s">
        <v>34</v>
      </c>
      <c r="E216" t="s">
        <v>35</v>
      </c>
      <c r="F216" t="s">
        <v>83</v>
      </c>
      <c r="G216" t="s">
        <v>19</v>
      </c>
      <c r="H216" t="s">
        <v>36</v>
      </c>
      <c r="I216">
        <v>316535</v>
      </c>
      <c r="J216">
        <v>5</v>
      </c>
      <c r="K216">
        <v>4.9000000000000004</v>
      </c>
      <c r="L216">
        <v>4</v>
      </c>
      <c r="M216" t="s">
        <v>21</v>
      </c>
    </row>
    <row r="217" spans="1:13" x14ac:dyDescent="0.3">
      <c r="A217" t="s">
        <v>467</v>
      </c>
      <c r="B217" t="s">
        <v>468</v>
      </c>
      <c r="C217" t="s">
        <v>68</v>
      </c>
      <c r="D217" t="s">
        <v>41</v>
      </c>
      <c r="E217" t="s">
        <v>42</v>
      </c>
      <c r="F217" t="s">
        <v>83</v>
      </c>
      <c r="G217" t="s">
        <v>19</v>
      </c>
      <c r="H217" t="s">
        <v>64</v>
      </c>
      <c r="I217">
        <v>4266</v>
      </c>
      <c r="J217">
        <v>6</v>
      </c>
      <c r="K217">
        <v>3.9</v>
      </c>
      <c r="L217">
        <v>5</v>
      </c>
      <c r="M217" t="s">
        <v>37</v>
      </c>
    </row>
    <row r="218" spans="1:13" x14ac:dyDescent="0.3">
      <c r="A218" t="s">
        <v>469</v>
      </c>
      <c r="B218" t="s">
        <v>470</v>
      </c>
      <c r="C218" t="s">
        <v>146</v>
      </c>
      <c r="D218" t="s">
        <v>41</v>
      </c>
      <c r="E218" t="s">
        <v>42</v>
      </c>
      <c r="F218" t="s">
        <v>27</v>
      </c>
      <c r="G218" t="s">
        <v>54</v>
      </c>
      <c r="H218" t="s">
        <v>36</v>
      </c>
      <c r="I218">
        <v>24785</v>
      </c>
      <c r="J218">
        <v>5</v>
      </c>
      <c r="K218">
        <v>4.5</v>
      </c>
      <c r="L218">
        <v>6</v>
      </c>
      <c r="M218" t="s">
        <v>80</v>
      </c>
    </row>
    <row r="219" spans="1:13" x14ac:dyDescent="0.3">
      <c r="A219" t="s">
        <v>471</v>
      </c>
      <c r="B219" t="s">
        <v>472</v>
      </c>
      <c r="C219" t="s">
        <v>50</v>
      </c>
      <c r="D219" t="s">
        <v>79</v>
      </c>
      <c r="E219" t="s">
        <v>26</v>
      </c>
      <c r="F219" t="s">
        <v>27</v>
      </c>
      <c r="G219" t="s">
        <v>104</v>
      </c>
      <c r="H219" t="s">
        <v>29</v>
      </c>
      <c r="I219">
        <v>32753</v>
      </c>
      <c r="J219">
        <v>7</v>
      </c>
      <c r="K219">
        <v>3.7</v>
      </c>
      <c r="L219">
        <v>6</v>
      </c>
      <c r="M219" t="s">
        <v>192</v>
      </c>
    </row>
    <row r="220" spans="1:13" x14ac:dyDescent="0.3">
      <c r="A220" t="s">
        <v>473</v>
      </c>
      <c r="B220" t="s">
        <v>468</v>
      </c>
      <c r="C220" t="s">
        <v>146</v>
      </c>
      <c r="D220" t="s">
        <v>46</v>
      </c>
      <c r="E220" t="s">
        <v>42</v>
      </c>
      <c r="F220" t="s">
        <v>53</v>
      </c>
      <c r="G220" t="s">
        <v>28</v>
      </c>
      <c r="H220" t="s">
        <v>36</v>
      </c>
      <c r="I220">
        <v>3184</v>
      </c>
      <c r="J220">
        <v>2</v>
      </c>
      <c r="K220">
        <v>3.4</v>
      </c>
      <c r="L220">
        <v>8</v>
      </c>
      <c r="M220" t="s">
        <v>37</v>
      </c>
    </row>
    <row r="221" spans="1:13" x14ac:dyDescent="0.3">
      <c r="A221" t="s">
        <v>474</v>
      </c>
      <c r="B221" t="s">
        <v>475</v>
      </c>
      <c r="C221" t="s">
        <v>45</v>
      </c>
      <c r="D221" t="s">
        <v>59</v>
      </c>
      <c r="E221" t="s">
        <v>26</v>
      </c>
      <c r="F221" t="s">
        <v>18</v>
      </c>
      <c r="G221" t="s">
        <v>19</v>
      </c>
      <c r="H221" t="s">
        <v>29</v>
      </c>
      <c r="I221">
        <v>18248</v>
      </c>
      <c r="J221">
        <v>8</v>
      </c>
      <c r="K221">
        <v>3.5</v>
      </c>
      <c r="L221">
        <v>5</v>
      </c>
      <c r="M221" t="s">
        <v>37</v>
      </c>
    </row>
    <row r="222" spans="1:13" x14ac:dyDescent="0.3">
      <c r="A222" t="s">
        <v>476</v>
      </c>
      <c r="B222" t="s">
        <v>477</v>
      </c>
      <c r="C222" t="s">
        <v>15</v>
      </c>
      <c r="D222" t="s">
        <v>147</v>
      </c>
      <c r="E222" t="s">
        <v>52</v>
      </c>
      <c r="F222" t="s">
        <v>60</v>
      </c>
      <c r="G222" t="s">
        <v>28</v>
      </c>
      <c r="H222" t="s">
        <v>20</v>
      </c>
      <c r="I222">
        <v>7492</v>
      </c>
      <c r="J222">
        <v>4</v>
      </c>
      <c r="K222">
        <v>3.7</v>
      </c>
      <c r="L222">
        <v>3</v>
      </c>
      <c r="M222" t="s">
        <v>119</v>
      </c>
    </row>
    <row r="223" spans="1:13" x14ac:dyDescent="0.3">
      <c r="A223" t="s">
        <v>478</v>
      </c>
      <c r="B223" t="s">
        <v>183</v>
      </c>
      <c r="C223" t="s">
        <v>129</v>
      </c>
      <c r="D223" t="s">
        <v>116</v>
      </c>
      <c r="E223" t="s">
        <v>17</v>
      </c>
      <c r="F223" t="s">
        <v>27</v>
      </c>
      <c r="G223" t="s">
        <v>54</v>
      </c>
      <c r="H223" t="s">
        <v>29</v>
      </c>
      <c r="I223">
        <v>1644</v>
      </c>
      <c r="J223">
        <v>3</v>
      </c>
      <c r="K223">
        <v>3.6</v>
      </c>
      <c r="L223">
        <v>7</v>
      </c>
      <c r="M223" t="s">
        <v>87</v>
      </c>
    </row>
    <row r="224" spans="1:13" x14ac:dyDescent="0.3">
      <c r="A224" t="s">
        <v>479</v>
      </c>
      <c r="B224" t="s">
        <v>480</v>
      </c>
      <c r="C224" t="s">
        <v>33</v>
      </c>
      <c r="D224" t="s">
        <v>16</v>
      </c>
      <c r="E224" t="s">
        <v>17</v>
      </c>
      <c r="F224" t="s">
        <v>83</v>
      </c>
      <c r="G224" t="s">
        <v>28</v>
      </c>
      <c r="H224" t="s">
        <v>64</v>
      </c>
      <c r="I224">
        <v>6488</v>
      </c>
      <c r="J224">
        <v>4</v>
      </c>
      <c r="K224">
        <v>3.4</v>
      </c>
      <c r="L224">
        <v>8</v>
      </c>
      <c r="M224" t="s">
        <v>87</v>
      </c>
    </row>
    <row r="225" spans="1:13" x14ac:dyDescent="0.3">
      <c r="A225" t="s">
        <v>481</v>
      </c>
      <c r="B225" t="s">
        <v>482</v>
      </c>
      <c r="C225" t="s">
        <v>33</v>
      </c>
      <c r="D225" t="s">
        <v>41</v>
      </c>
      <c r="E225" t="s">
        <v>42</v>
      </c>
      <c r="F225" t="s">
        <v>100</v>
      </c>
      <c r="G225" t="s">
        <v>19</v>
      </c>
      <c r="H225" t="s">
        <v>29</v>
      </c>
      <c r="I225">
        <v>15631</v>
      </c>
      <c r="J225">
        <v>7</v>
      </c>
      <c r="K225">
        <v>3.7</v>
      </c>
      <c r="L225">
        <v>3</v>
      </c>
      <c r="M225" t="s">
        <v>55</v>
      </c>
    </row>
    <row r="226" spans="1:13" x14ac:dyDescent="0.3">
      <c r="A226" t="s">
        <v>483</v>
      </c>
      <c r="B226" t="s">
        <v>344</v>
      </c>
      <c r="C226" t="s">
        <v>78</v>
      </c>
      <c r="D226" t="s">
        <v>90</v>
      </c>
      <c r="E226" t="s">
        <v>42</v>
      </c>
      <c r="F226" t="s">
        <v>18</v>
      </c>
      <c r="G226" t="s">
        <v>28</v>
      </c>
      <c r="H226" t="s">
        <v>29</v>
      </c>
      <c r="I226">
        <v>30696</v>
      </c>
      <c r="J226">
        <v>8</v>
      </c>
      <c r="K226">
        <v>4</v>
      </c>
      <c r="L226">
        <v>4</v>
      </c>
      <c r="M226" t="s">
        <v>30</v>
      </c>
    </row>
    <row r="227" spans="1:13" x14ac:dyDescent="0.3">
      <c r="A227" t="s">
        <v>484</v>
      </c>
      <c r="B227" t="s">
        <v>485</v>
      </c>
      <c r="C227" t="s">
        <v>103</v>
      </c>
      <c r="D227" t="s">
        <v>90</v>
      </c>
      <c r="E227" t="s">
        <v>42</v>
      </c>
      <c r="F227" t="s">
        <v>18</v>
      </c>
      <c r="G227" t="s">
        <v>28</v>
      </c>
      <c r="H227" t="s">
        <v>29</v>
      </c>
      <c r="I227">
        <v>5478</v>
      </c>
      <c r="J227">
        <v>6</v>
      </c>
      <c r="K227">
        <v>4.3</v>
      </c>
      <c r="L227">
        <v>1</v>
      </c>
      <c r="M227" t="s">
        <v>126</v>
      </c>
    </row>
    <row r="228" spans="1:13" x14ac:dyDescent="0.3">
      <c r="A228" t="s">
        <v>486</v>
      </c>
      <c r="B228" t="s">
        <v>487</v>
      </c>
      <c r="C228" t="s">
        <v>58</v>
      </c>
      <c r="D228" t="s">
        <v>79</v>
      </c>
      <c r="E228" t="s">
        <v>26</v>
      </c>
      <c r="F228" t="s">
        <v>60</v>
      </c>
      <c r="G228" t="s">
        <v>104</v>
      </c>
      <c r="H228" t="s">
        <v>20</v>
      </c>
      <c r="I228">
        <v>3432</v>
      </c>
      <c r="J228">
        <v>2</v>
      </c>
      <c r="K228">
        <v>4.5999999999999996</v>
      </c>
      <c r="L228">
        <v>4</v>
      </c>
      <c r="M228" t="s">
        <v>80</v>
      </c>
    </row>
    <row r="229" spans="1:13" x14ac:dyDescent="0.3">
      <c r="A229" t="s">
        <v>488</v>
      </c>
      <c r="B229" t="s">
        <v>489</v>
      </c>
      <c r="C229" t="s">
        <v>58</v>
      </c>
      <c r="D229" t="s">
        <v>63</v>
      </c>
      <c r="E229" t="s">
        <v>52</v>
      </c>
      <c r="F229" t="s">
        <v>83</v>
      </c>
      <c r="G229" t="s">
        <v>28</v>
      </c>
      <c r="H229" t="s">
        <v>29</v>
      </c>
      <c r="I229">
        <v>10314</v>
      </c>
      <c r="J229">
        <v>6</v>
      </c>
      <c r="K229">
        <v>4.9000000000000004</v>
      </c>
      <c r="L229">
        <v>3</v>
      </c>
      <c r="M229" t="s">
        <v>30</v>
      </c>
    </row>
    <row r="230" spans="1:13" x14ac:dyDescent="0.3">
      <c r="A230" t="s">
        <v>490</v>
      </c>
      <c r="B230" t="s">
        <v>491</v>
      </c>
      <c r="C230" t="s">
        <v>170</v>
      </c>
      <c r="D230" t="s">
        <v>51</v>
      </c>
      <c r="E230" t="s">
        <v>52</v>
      </c>
      <c r="F230" t="s">
        <v>100</v>
      </c>
      <c r="G230" t="s">
        <v>19</v>
      </c>
      <c r="H230" t="s">
        <v>20</v>
      </c>
      <c r="I230">
        <v>2404</v>
      </c>
      <c r="J230">
        <v>2</v>
      </c>
      <c r="K230">
        <v>4.0999999999999996</v>
      </c>
      <c r="L230">
        <v>1</v>
      </c>
      <c r="M230" t="s">
        <v>144</v>
      </c>
    </row>
    <row r="231" spans="1:13" x14ac:dyDescent="0.3">
      <c r="A231" t="s">
        <v>492</v>
      </c>
      <c r="B231" t="s">
        <v>493</v>
      </c>
      <c r="C231" t="s">
        <v>75</v>
      </c>
      <c r="D231" t="s">
        <v>34</v>
      </c>
      <c r="E231" t="s">
        <v>35</v>
      </c>
      <c r="F231" t="s">
        <v>53</v>
      </c>
      <c r="G231" t="s">
        <v>28</v>
      </c>
      <c r="H231" t="s">
        <v>36</v>
      </c>
      <c r="I231">
        <v>79388</v>
      </c>
      <c r="J231">
        <v>1</v>
      </c>
      <c r="K231">
        <v>4.7</v>
      </c>
      <c r="L231">
        <v>6</v>
      </c>
      <c r="M231" t="s">
        <v>126</v>
      </c>
    </row>
    <row r="232" spans="1:13" x14ac:dyDescent="0.3">
      <c r="A232" t="s">
        <v>494</v>
      </c>
      <c r="B232" t="s">
        <v>493</v>
      </c>
      <c r="C232" t="s">
        <v>122</v>
      </c>
      <c r="D232" t="s">
        <v>130</v>
      </c>
      <c r="E232" t="s">
        <v>35</v>
      </c>
      <c r="F232" t="s">
        <v>27</v>
      </c>
      <c r="G232" t="s">
        <v>19</v>
      </c>
      <c r="H232" t="s">
        <v>64</v>
      </c>
      <c r="I232">
        <v>199074</v>
      </c>
      <c r="J232">
        <v>3</v>
      </c>
      <c r="K232">
        <v>4.5</v>
      </c>
      <c r="L232">
        <v>6</v>
      </c>
      <c r="M232" t="s">
        <v>126</v>
      </c>
    </row>
    <row r="233" spans="1:13" x14ac:dyDescent="0.3">
      <c r="A233" t="s">
        <v>495</v>
      </c>
      <c r="B233" t="s">
        <v>77</v>
      </c>
      <c r="C233" t="s">
        <v>45</v>
      </c>
      <c r="D233" t="s">
        <v>130</v>
      </c>
      <c r="E233" t="s">
        <v>35</v>
      </c>
      <c r="F233" t="s">
        <v>83</v>
      </c>
      <c r="G233" t="s">
        <v>54</v>
      </c>
      <c r="H233" t="s">
        <v>64</v>
      </c>
      <c r="I233">
        <v>232746</v>
      </c>
      <c r="J233">
        <v>3</v>
      </c>
      <c r="K233">
        <v>3.3</v>
      </c>
      <c r="L233">
        <v>6</v>
      </c>
      <c r="M233" t="s">
        <v>80</v>
      </c>
    </row>
    <row r="234" spans="1:13" x14ac:dyDescent="0.3">
      <c r="A234" t="s">
        <v>496</v>
      </c>
      <c r="B234" t="s">
        <v>263</v>
      </c>
      <c r="C234" t="s">
        <v>146</v>
      </c>
      <c r="D234" t="s">
        <v>109</v>
      </c>
      <c r="E234" t="s">
        <v>52</v>
      </c>
      <c r="F234" t="s">
        <v>18</v>
      </c>
      <c r="G234" t="s">
        <v>104</v>
      </c>
      <c r="H234" t="s">
        <v>20</v>
      </c>
      <c r="I234">
        <v>6232</v>
      </c>
      <c r="J234">
        <v>4</v>
      </c>
      <c r="K234">
        <v>4.7</v>
      </c>
      <c r="L234">
        <v>6</v>
      </c>
      <c r="M234" t="s">
        <v>87</v>
      </c>
    </row>
    <row r="235" spans="1:13" x14ac:dyDescent="0.3">
      <c r="A235" t="s">
        <v>497</v>
      </c>
      <c r="B235" t="s">
        <v>450</v>
      </c>
      <c r="C235" t="s">
        <v>133</v>
      </c>
      <c r="D235" t="s">
        <v>147</v>
      </c>
      <c r="E235" t="s">
        <v>52</v>
      </c>
      <c r="F235" t="s">
        <v>60</v>
      </c>
      <c r="G235" t="s">
        <v>28</v>
      </c>
      <c r="H235" t="s">
        <v>29</v>
      </c>
      <c r="I235">
        <v>1275</v>
      </c>
      <c r="J235">
        <v>5</v>
      </c>
      <c r="K235">
        <v>4.5</v>
      </c>
      <c r="L235">
        <v>3</v>
      </c>
      <c r="M235" t="s">
        <v>126</v>
      </c>
    </row>
    <row r="236" spans="1:13" x14ac:dyDescent="0.3">
      <c r="A236" t="s">
        <v>498</v>
      </c>
      <c r="B236" t="s">
        <v>181</v>
      </c>
      <c r="C236" t="s">
        <v>40</v>
      </c>
      <c r="D236" t="s">
        <v>69</v>
      </c>
      <c r="E236" t="s">
        <v>26</v>
      </c>
      <c r="F236" t="s">
        <v>18</v>
      </c>
      <c r="G236" t="s">
        <v>104</v>
      </c>
      <c r="H236" t="s">
        <v>29</v>
      </c>
      <c r="I236">
        <v>16056</v>
      </c>
      <c r="J236">
        <v>8</v>
      </c>
      <c r="K236">
        <v>4.5999999999999996</v>
      </c>
      <c r="L236">
        <v>1</v>
      </c>
      <c r="M236" t="s">
        <v>87</v>
      </c>
    </row>
    <row r="237" spans="1:13" x14ac:dyDescent="0.3">
      <c r="A237" t="s">
        <v>499</v>
      </c>
      <c r="B237" t="s">
        <v>420</v>
      </c>
      <c r="C237" t="s">
        <v>15</v>
      </c>
      <c r="D237" t="s">
        <v>16</v>
      </c>
      <c r="E237" t="s">
        <v>17</v>
      </c>
      <c r="F237" t="s">
        <v>60</v>
      </c>
      <c r="G237" t="s">
        <v>19</v>
      </c>
      <c r="H237" t="s">
        <v>64</v>
      </c>
      <c r="I237">
        <v>3204</v>
      </c>
      <c r="J237">
        <v>3</v>
      </c>
      <c r="K237">
        <v>3.8</v>
      </c>
      <c r="L237">
        <v>8</v>
      </c>
      <c r="M237" t="s">
        <v>126</v>
      </c>
    </row>
    <row r="238" spans="1:13" x14ac:dyDescent="0.3">
      <c r="A238" t="s">
        <v>500</v>
      </c>
      <c r="B238" t="s">
        <v>181</v>
      </c>
      <c r="C238" t="s">
        <v>40</v>
      </c>
      <c r="D238" t="s">
        <v>147</v>
      </c>
      <c r="E238" t="s">
        <v>52</v>
      </c>
      <c r="F238" t="s">
        <v>83</v>
      </c>
      <c r="G238" t="s">
        <v>54</v>
      </c>
      <c r="H238" t="s">
        <v>36</v>
      </c>
      <c r="I238">
        <v>6168</v>
      </c>
      <c r="J238">
        <v>6</v>
      </c>
      <c r="K238">
        <v>3.7</v>
      </c>
      <c r="L238">
        <v>5</v>
      </c>
      <c r="M238" t="s">
        <v>87</v>
      </c>
    </row>
    <row r="239" spans="1:13" x14ac:dyDescent="0.3">
      <c r="A239" t="s">
        <v>501</v>
      </c>
      <c r="B239" t="s">
        <v>356</v>
      </c>
      <c r="C239" t="s">
        <v>179</v>
      </c>
      <c r="D239" t="s">
        <v>90</v>
      </c>
      <c r="E239" t="s">
        <v>42</v>
      </c>
      <c r="F239" t="s">
        <v>18</v>
      </c>
      <c r="G239" t="s">
        <v>54</v>
      </c>
      <c r="H239" t="s">
        <v>20</v>
      </c>
      <c r="I239">
        <v>1417</v>
      </c>
      <c r="J239">
        <v>1</v>
      </c>
      <c r="K239">
        <v>4.7</v>
      </c>
      <c r="L239">
        <v>8</v>
      </c>
      <c r="M239" t="s">
        <v>80</v>
      </c>
    </row>
    <row r="240" spans="1:13" x14ac:dyDescent="0.3">
      <c r="A240" t="s">
        <v>502</v>
      </c>
      <c r="B240" t="s">
        <v>503</v>
      </c>
      <c r="C240" t="s">
        <v>75</v>
      </c>
      <c r="D240" t="s">
        <v>109</v>
      </c>
      <c r="E240" t="s">
        <v>52</v>
      </c>
      <c r="F240" t="s">
        <v>27</v>
      </c>
      <c r="G240" t="s">
        <v>28</v>
      </c>
      <c r="H240" t="s">
        <v>20</v>
      </c>
      <c r="I240">
        <v>12104</v>
      </c>
      <c r="J240">
        <v>8</v>
      </c>
      <c r="K240">
        <v>4.8</v>
      </c>
      <c r="L240">
        <v>5</v>
      </c>
      <c r="M240" t="s">
        <v>87</v>
      </c>
    </row>
    <row r="241" spans="1:13" x14ac:dyDescent="0.3">
      <c r="A241" t="s">
        <v>504</v>
      </c>
      <c r="B241" t="s">
        <v>505</v>
      </c>
      <c r="C241" t="s">
        <v>58</v>
      </c>
      <c r="D241" t="s">
        <v>97</v>
      </c>
      <c r="E241" t="s">
        <v>35</v>
      </c>
      <c r="F241" t="s">
        <v>18</v>
      </c>
      <c r="G241" t="s">
        <v>19</v>
      </c>
      <c r="H241" t="s">
        <v>36</v>
      </c>
      <c r="I241">
        <v>111030</v>
      </c>
      <c r="J241">
        <v>3</v>
      </c>
      <c r="K241">
        <v>3.7</v>
      </c>
      <c r="L241">
        <v>5</v>
      </c>
      <c r="M241" t="s">
        <v>55</v>
      </c>
    </row>
    <row r="242" spans="1:13" x14ac:dyDescent="0.3">
      <c r="A242" t="s">
        <v>506</v>
      </c>
      <c r="B242" t="s">
        <v>507</v>
      </c>
      <c r="C242" t="s">
        <v>78</v>
      </c>
      <c r="D242" t="s">
        <v>218</v>
      </c>
      <c r="E242" t="s">
        <v>17</v>
      </c>
      <c r="F242" t="s">
        <v>27</v>
      </c>
      <c r="G242" t="s">
        <v>28</v>
      </c>
      <c r="H242" t="s">
        <v>20</v>
      </c>
      <c r="I242">
        <v>10549</v>
      </c>
      <c r="J242">
        <v>7</v>
      </c>
      <c r="K242">
        <v>4.7</v>
      </c>
      <c r="L242">
        <v>7</v>
      </c>
      <c r="M242" t="s">
        <v>30</v>
      </c>
    </row>
    <row r="243" spans="1:13" x14ac:dyDescent="0.3">
      <c r="A243" t="s">
        <v>508</v>
      </c>
      <c r="B243" t="s">
        <v>290</v>
      </c>
      <c r="C243" t="s">
        <v>68</v>
      </c>
      <c r="D243" t="s">
        <v>46</v>
      </c>
      <c r="E243" t="s">
        <v>42</v>
      </c>
      <c r="F243" t="s">
        <v>60</v>
      </c>
      <c r="G243" t="s">
        <v>19</v>
      </c>
      <c r="H243" t="s">
        <v>20</v>
      </c>
      <c r="I243">
        <v>37653</v>
      </c>
      <c r="J243">
        <v>7</v>
      </c>
      <c r="K243">
        <v>4.5999999999999996</v>
      </c>
      <c r="L243">
        <v>3</v>
      </c>
      <c r="M243" t="s">
        <v>87</v>
      </c>
    </row>
    <row r="244" spans="1:13" x14ac:dyDescent="0.3">
      <c r="A244" t="s">
        <v>509</v>
      </c>
      <c r="B244" t="s">
        <v>510</v>
      </c>
      <c r="C244" t="s">
        <v>170</v>
      </c>
      <c r="D244" t="s">
        <v>63</v>
      </c>
      <c r="E244" t="s">
        <v>52</v>
      </c>
      <c r="F244" t="s">
        <v>27</v>
      </c>
      <c r="G244" t="s">
        <v>54</v>
      </c>
      <c r="H244" t="s">
        <v>36</v>
      </c>
      <c r="I244">
        <v>570</v>
      </c>
      <c r="J244">
        <v>1</v>
      </c>
      <c r="K244">
        <v>3.5</v>
      </c>
      <c r="L244">
        <v>5</v>
      </c>
      <c r="M244" t="s">
        <v>80</v>
      </c>
    </row>
    <row r="245" spans="1:13" x14ac:dyDescent="0.3">
      <c r="A245" t="s">
        <v>511</v>
      </c>
      <c r="B245" t="s">
        <v>39</v>
      </c>
      <c r="C245" t="s">
        <v>68</v>
      </c>
      <c r="D245" t="s">
        <v>90</v>
      </c>
      <c r="E245" t="s">
        <v>42</v>
      </c>
      <c r="F245" t="s">
        <v>60</v>
      </c>
      <c r="G245" t="s">
        <v>19</v>
      </c>
      <c r="H245" t="s">
        <v>20</v>
      </c>
      <c r="I245">
        <v>4806</v>
      </c>
      <c r="J245">
        <v>6</v>
      </c>
      <c r="K245">
        <v>4.3</v>
      </c>
      <c r="L245">
        <v>7</v>
      </c>
      <c r="M245" t="s">
        <v>30</v>
      </c>
    </row>
    <row r="246" spans="1:13" x14ac:dyDescent="0.3">
      <c r="A246" t="s">
        <v>512</v>
      </c>
      <c r="B246" t="s">
        <v>111</v>
      </c>
      <c r="C246" t="s">
        <v>58</v>
      </c>
      <c r="D246" t="s">
        <v>25</v>
      </c>
      <c r="E246" t="s">
        <v>26</v>
      </c>
      <c r="F246" t="s">
        <v>100</v>
      </c>
      <c r="G246" t="s">
        <v>28</v>
      </c>
      <c r="H246" t="s">
        <v>36</v>
      </c>
      <c r="I246">
        <v>10254</v>
      </c>
      <c r="J246">
        <v>2</v>
      </c>
      <c r="K246">
        <v>3.9</v>
      </c>
      <c r="L246">
        <v>8</v>
      </c>
      <c r="M246" t="s">
        <v>87</v>
      </c>
    </row>
    <row r="247" spans="1:13" x14ac:dyDescent="0.3">
      <c r="A247" t="s">
        <v>513</v>
      </c>
      <c r="B247" t="s">
        <v>514</v>
      </c>
      <c r="C247" t="s">
        <v>125</v>
      </c>
      <c r="D247" t="s">
        <v>109</v>
      </c>
      <c r="E247" t="s">
        <v>52</v>
      </c>
      <c r="F247" t="s">
        <v>53</v>
      </c>
      <c r="G247" t="s">
        <v>104</v>
      </c>
      <c r="H247" t="s">
        <v>36</v>
      </c>
      <c r="I247">
        <v>5685</v>
      </c>
      <c r="J247">
        <v>3</v>
      </c>
      <c r="K247">
        <v>4.4000000000000004</v>
      </c>
      <c r="L247">
        <v>1</v>
      </c>
      <c r="M247" t="s">
        <v>55</v>
      </c>
    </row>
    <row r="248" spans="1:13" x14ac:dyDescent="0.3">
      <c r="A248" t="s">
        <v>515</v>
      </c>
      <c r="B248" t="s">
        <v>516</v>
      </c>
      <c r="C248" t="s">
        <v>170</v>
      </c>
      <c r="D248" t="s">
        <v>130</v>
      </c>
      <c r="E248" t="s">
        <v>35</v>
      </c>
      <c r="F248" t="s">
        <v>53</v>
      </c>
      <c r="G248" t="s">
        <v>28</v>
      </c>
      <c r="H248" t="s">
        <v>36</v>
      </c>
      <c r="I248">
        <v>161890</v>
      </c>
      <c r="J248">
        <v>5</v>
      </c>
      <c r="K248">
        <v>5</v>
      </c>
      <c r="L248">
        <v>8</v>
      </c>
      <c r="M248" t="s">
        <v>126</v>
      </c>
    </row>
    <row r="249" spans="1:13" x14ac:dyDescent="0.3">
      <c r="A249" t="s">
        <v>517</v>
      </c>
      <c r="B249" t="s">
        <v>57</v>
      </c>
      <c r="C249" t="s">
        <v>40</v>
      </c>
      <c r="D249" t="s">
        <v>51</v>
      </c>
      <c r="E249" t="s">
        <v>52</v>
      </c>
      <c r="F249" t="s">
        <v>27</v>
      </c>
      <c r="G249" t="s">
        <v>28</v>
      </c>
      <c r="H249" t="s">
        <v>20</v>
      </c>
      <c r="I249">
        <v>16555</v>
      </c>
      <c r="J249">
        <v>7</v>
      </c>
      <c r="K249">
        <v>4.5999999999999996</v>
      </c>
      <c r="L249">
        <v>2</v>
      </c>
      <c r="M249" t="s">
        <v>37</v>
      </c>
    </row>
    <row r="250" spans="1:13" x14ac:dyDescent="0.3">
      <c r="A250" t="s">
        <v>518</v>
      </c>
      <c r="B250" t="s">
        <v>519</v>
      </c>
      <c r="C250" t="s">
        <v>179</v>
      </c>
      <c r="D250" t="s">
        <v>25</v>
      </c>
      <c r="E250" t="s">
        <v>26</v>
      </c>
      <c r="F250" t="s">
        <v>53</v>
      </c>
      <c r="G250" t="s">
        <v>104</v>
      </c>
      <c r="H250" t="s">
        <v>64</v>
      </c>
      <c r="I250">
        <v>33112</v>
      </c>
      <c r="J250">
        <v>4</v>
      </c>
      <c r="K250">
        <v>3.3</v>
      </c>
      <c r="L250">
        <v>6</v>
      </c>
      <c r="M250" t="s">
        <v>80</v>
      </c>
    </row>
    <row r="251" spans="1:13" x14ac:dyDescent="0.3">
      <c r="A251" t="s">
        <v>520</v>
      </c>
      <c r="B251" t="s">
        <v>521</v>
      </c>
      <c r="C251" t="s">
        <v>125</v>
      </c>
      <c r="D251" t="s">
        <v>69</v>
      </c>
      <c r="E251" t="s">
        <v>26</v>
      </c>
      <c r="F251" t="s">
        <v>100</v>
      </c>
      <c r="G251" t="s">
        <v>104</v>
      </c>
      <c r="H251" t="s">
        <v>29</v>
      </c>
      <c r="I251">
        <v>17616</v>
      </c>
      <c r="J251">
        <v>2</v>
      </c>
      <c r="K251">
        <v>4.3</v>
      </c>
      <c r="L251">
        <v>3</v>
      </c>
      <c r="M251" t="s">
        <v>192</v>
      </c>
    </row>
    <row r="252" spans="1:13" x14ac:dyDescent="0.3">
      <c r="A252" t="s">
        <v>522</v>
      </c>
      <c r="B252" t="s">
        <v>523</v>
      </c>
      <c r="C252" t="s">
        <v>122</v>
      </c>
      <c r="D252" t="s">
        <v>109</v>
      </c>
      <c r="E252" t="s">
        <v>52</v>
      </c>
      <c r="F252" t="s">
        <v>27</v>
      </c>
      <c r="G252" t="s">
        <v>19</v>
      </c>
      <c r="H252" t="s">
        <v>20</v>
      </c>
      <c r="I252">
        <v>724</v>
      </c>
      <c r="J252">
        <v>2</v>
      </c>
      <c r="K252">
        <v>4.7</v>
      </c>
      <c r="L252">
        <v>4</v>
      </c>
      <c r="M252" t="s">
        <v>119</v>
      </c>
    </row>
    <row r="253" spans="1:13" x14ac:dyDescent="0.3">
      <c r="A253" t="s">
        <v>524</v>
      </c>
      <c r="B253" t="s">
        <v>525</v>
      </c>
      <c r="C253" t="s">
        <v>122</v>
      </c>
      <c r="D253" t="s">
        <v>97</v>
      </c>
      <c r="E253" t="s">
        <v>35</v>
      </c>
      <c r="F253" t="s">
        <v>53</v>
      </c>
      <c r="G253" t="s">
        <v>104</v>
      </c>
      <c r="H253" t="s">
        <v>29</v>
      </c>
      <c r="I253">
        <v>64640</v>
      </c>
      <c r="J253">
        <v>1</v>
      </c>
      <c r="K253">
        <v>3.5</v>
      </c>
      <c r="L253">
        <v>1</v>
      </c>
      <c r="M253" t="s">
        <v>65</v>
      </c>
    </row>
    <row r="254" spans="1:13" x14ac:dyDescent="0.3">
      <c r="A254" t="s">
        <v>526</v>
      </c>
      <c r="B254" t="s">
        <v>527</v>
      </c>
      <c r="C254" t="s">
        <v>58</v>
      </c>
      <c r="D254" t="s">
        <v>90</v>
      </c>
      <c r="E254" t="s">
        <v>42</v>
      </c>
      <c r="F254" t="s">
        <v>18</v>
      </c>
      <c r="G254" t="s">
        <v>54</v>
      </c>
      <c r="H254" t="s">
        <v>29</v>
      </c>
      <c r="I254">
        <v>25400</v>
      </c>
      <c r="J254">
        <v>8</v>
      </c>
      <c r="K254">
        <v>4.0999999999999996</v>
      </c>
      <c r="L254">
        <v>7</v>
      </c>
      <c r="M254" t="s">
        <v>126</v>
      </c>
    </row>
    <row r="255" spans="1:13" x14ac:dyDescent="0.3">
      <c r="A255" t="s">
        <v>528</v>
      </c>
      <c r="B255" t="s">
        <v>187</v>
      </c>
      <c r="C255" t="s">
        <v>103</v>
      </c>
      <c r="D255" t="s">
        <v>59</v>
      </c>
      <c r="E255" t="s">
        <v>26</v>
      </c>
      <c r="F255" t="s">
        <v>27</v>
      </c>
      <c r="G255" t="s">
        <v>104</v>
      </c>
      <c r="H255" t="s">
        <v>20</v>
      </c>
      <c r="I255">
        <v>22590</v>
      </c>
      <c r="J255">
        <v>2</v>
      </c>
      <c r="K255">
        <v>3.8</v>
      </c>
      <c r="L255">
        <v>5</v>
      </c>
      <c r="M255" t="s">
        <v>126</v>
      </c>
    </row>
    <row r="256" spans="1:13" x14ac:dyDescent="0.3">
      <c r="A256" t="s">
        <v>529</v>
      </c>
      <c r="B256" t="s">
        <v>530</v>
      </c>
      <c r="C256" t="s">
        <v>103</v>
      </c>
      <c r="D256" t="s">
        <v>63</v>
      </c>
      <c r="E256" t="s">
        <v>52</v>
      </c>
      <c r="F256" t="s">
        <v>60</v>
      </c>
      <c r="G256" t="s">
        <v>28</v>
      </c>
      <c r="H256" t="s">
        <v>64</v>
      </c>
      <c r="I256">
        <v>10913</v>
      </c>
      <c r="J256">
        <v>7</v>
      </c>
      <c r="K256">
        <v>4.0999999999999996</v>
      </c>
      <c r="L256">
        <v>5</v>
      </c>
      <c r="M256" t="s">
        <v>144</v>
      </c>
    </row>
    <row r="257" spans="1:13" x14ac:dyDescent="0.3">
      <c r="A257" t="s">
        <v>531</v>
      </c>
      <c r="B257" t="s">
        <v>420</v>
      </c>
      <c r="C257" t="s">
        <v>78</v>
      </c>
      <c r="D257" t="s">
        <v>86</v>
      </c>
      <c r="E257" t="s">
        <v>17</v>
      </c>
      <c r="F257" t="s">
        <v>83</v>
      </c>
      <c r="G257" t="s">
        <v>104</v>
      </c>
      <c r="H257" t="s">
        <v>36</v>
      </c>
      <c r="I257">
        <v>6820</v>
      </c>
      <c r="J257">
        <v>4</v>
      </c>
      <c r="K257">
        <v>3.7</v>
      </c>
      <c r="L257">
        <v>3</v>
      </c>
      <c r="M257" t="s">
        <v>126</v>
      </c>
    </row>
    <row r="258" spans="1:13" x14ac:dyDescent="0.3">
      <c r="A258" t="s">
        <v>532</v>
      </c>
      <c r="B258" t="s">
        <v>533</v>
      </c>
      <c r="C258" t="s">
        <v>133</v>
      </c>
      <c r="D258" t="s">
        <v>159</v>
      </c>
      <c r="E258" t="s">
        <v>42</v>
      </c>
      <c r="F258" t="s">
        <v>53</v>
      </c>
      <c r="G258" t="s">
        <v>104</v>
      </c>
      <c r="H258" t="s">
        <v>29</v>
      </c>
      <c r="I258">
        <v>7560</v>
      </c>
      <c r="J258">
        <v>3</v>
      </c>
      <c r="K258">
        <v>3.6</v>
      </c>
      <c r="L258">
        <v>5</v>
      </c>
      <c r="M258" t="s">
        <v>21</v>
      </c>
    </row>
    <row r="259" spans="1:13" x14ac:dyDescent="0.3">
      <c r="A259" t="s">
        <v>534</v>
      </c>
      <c r="B259" t="s">
        <v>172</v>
      </c>
      <c r="C259" t="s">
        <v>112</v>
      </c>
      <c r="D259" t="s">
        <v>59</v>
      </c>
      <c r="E259" t="s">
        <v>26</v>
      </c>
      <c r="F259" t="s">
        <v>18</v>
      </c>
      <c r="G259" t="s">
        <v>28</v>
      </c>
      <c r="H259" t="s">
        <v>29</v>
      </c>
      <c r="I259">
        <v>21936</v>
      </c>
      <c r="J259">
        <v>2</v>
      </c>
      <c r="K259">
        <v>3.3</v>
      </c>
      <c r="L259">
        <v>4</v>
      </c>
      <c r="M259" t="s">
        <v>47</v>
      </c>
    </row>
    <row r="260" spans="1:13" x14ac:dyDescent="0.3">
      <c r="A260" t="s">
        <v>535</v>
      </c>
      <c r="B260" t="s">
        <v>536</v>
      </c>
      <c r="C260" t="s">
        <v>75</v>
      </c>
      <c r="D260" t="s">
        <v>41</v>
      </c>
      <c r="E260" t="s">
        <v>42</v>
      </c>
      <c r="F260" t="s">
        <v>60</v>
      </c>
      <c r="G260" t="s">
        <v>104</v>
      </c>
      <c r="H260" t="s">
        <v>20</v>
      </c>
      <c r="I260">
        <v>16092</v>
      </c>
      <c r="J260">
        <v>3</v>
      </c>
      <c r="K260">
        <v>3.5</v>
      </c>
      <c r="L260">
        <v>3</v>
      </c>
      <c r="M260" t="s">
        <v>80</v>
      </c>
    </row>
    <row r="261" spans="1:13" x14ac:dyDescent="0.3">
      <c r="A261" t="s">
        <v>537</v>
      </c>
      <c r="B261" t="s">
        <v>538</v>
      </c>
      <c r="C261" t="s">
        <v>72</v>
      </c>
      <c r="D261" t="s">
        <v>113</v>
      </c>
      <c r="E261" t="s">
        <v>35</v>
      </c>
      <c r="F261" t="s">
        <v>100</v>
      </c>
      <c r="G261" t="s">
        <v>28</v>
      </c>
      <c r="H261" t="s">
        <v>64</v>
      </c>
      <c r="I261">
        <v>196792</v>
      </c>
      <c r="J261">
        <v>8</v>
      </c>
      <c r="K261">
        <v>4.0999999999999996</v>
      </c>
      <c r="L261">
        <v>2</v>
      </c>
      <c r="M261" t="s">
        <v>144</v>
      </c>
    </row>
    <row r="262" spans="1:13" x14ac:dyDescent="0.3">
      <c r="A262" t="s">
        <v>539</v>
      </c>
      <c r="B262" t="s">
        <v>446</v>
      </c>
      <c r="C262" t="s">
        <v>112</v>
      </c>
      <c r="D262" t="s">
        <v>90</v>
      </c>
      <c r="E262" t="s">
        <v>42</v>
      </c>
      <c r="F262" t="s">
        <v>83</v>
      </c>
      <c r="G262" t="s">
        <v>54</v>
      </c>
      <c r="H262" t="s">
        <v>36</v>
      </c>
      <c r="I262">
        <v>16331</v>
      </c>
      <c r="J262">
        <v>7</v>
      </c>
      <c r="K262">
        <v>4.9000000000000004</v>
      </c>
      <c r="L262">
        <v>6</v>
      </c>
      <c r="M262" t="s">
        <v>65</v>
      </c>
    </row>
    <row r="263" spans="1:13" x14ac:dyDescent="0.3">
      <c r="A263" t="s">
        <v>540</v>
      </c>
      <c r="B263" t="s">
        <v>199</v>
      </c>
      <c r="C263" t="s">
        <v>75</v>
      </c>
      <c r="D263" t="s">
        <v>63</v>
      </c>
      <c r="E263" t="s">
        <v>52</v>
      </c>
      <c r="F263" t="s">
        <v>18</v>
      </c>
      <c r="G263" t="s">
        <v>104</v>
      </c>
      <c r="H263" t="s">
        <v>29</v>
      </c>
      <c r="I263">
        <v>4668</v>
      </c>
      <c r="J263">
        <v>6</v>
      </c>
      <c r="K263">
        <v>4.3</v>
      </c>
      <c r="L263">
        <v>3</v>
      </c>
      <c r="M263" t="s">
        <v>119</v>
      </c>
    </row>
    <row r="264" spans="1:13" x14ac:dyDescent="0.3">
      <c r="A264" t="s">
        <v>541</v>
      </c>
      <c r="B264" t="s">
        <v>391</v>
      </c>
      <c r="C264" t="s">
        <v>15</v>
      </c>
      <c r="D264" t="s">
        <v>46</v>
      </c>
      <c r="E264" t="s">
        <v>42</v>
      </c>
      <c r="F264" t="s">
        <v>83</v>
      </c>
      <c r="G264" t="s">
        <v>19</v>
      </c>
      <c r="H264" t="s">
        <v>20</v>
      </c>
      <c r="I264">
        <v>6729</v>
      </c>
      <c r="J264">
        <v>3</v>
      </c>
      <c r="K264">
        <v>4.9000000000000004</v>
      </c>
      <c r="L264">
        <v>7</v>
      </c>
      <c r="M264" t="s">
        <v>47</v>
      </c>
    </row>
    <row r="265" spans="1:13" x14ac:dyDescent="0.3">
      <c r="A265" t="s">
        <v>542</v>
      </c>
      <c r="B265" t="s">
        <v>543</v>
      </c>
      <c r="C265" t="s">
        <v>45</v>
      </c>
      <c r="D265" t="s">
        <v>147</v>
      </c>
      <c r="E265" t="s">
        <v>52</v>
      </c>
      <c r="F265" t="s">
        <v>18</v>
      </c>
      <c r="G265" t="s">
        <v>54</v>
      </c>
      <c r="H265" t="s">
        <v>36</v>
      </c>
      <c r="I265">
        <v>5253</v>
      </c>
      <c r="J265">
        <v>3</v>
      </c>
      <c r="K265">
        <v>3.7</v>
      </c>
      <c r="L265">
        <v>1</v>
      </c>
      <c r="M265" t="s">
        <v>30</v>
      </c>
    </row>
    <row r="266" spans="1:13" x14ac:dyDescent="0.3">
      <c r="A266" t="s">
        <v>544</v>
      </c>
      <c r="B266" t="s">
        <v>545</v>
      </c>
      <c r="C266" t="s">
        <v>15</v>
      </c>
      <c r="D266" t="s">
        <v>16</v>
      </c>
      <c r="E266" t="s">
        <v>17</v>
      </c>
      <c r="F266" t="s">
        <v>53</v>
      </c>
      <c r="G266" t="s">
        <v>28</v>
      </c>
      <c r="H266" t="s">
        <v>36</v>
      </c>
      <c r="I266">
        <v>8624</v>
      </c>
      <c r="J266">
        <v>8</v>
      </c>
      <c r="K266">
        <v>4.5</v>
      </c>
      <c r="L266">
        <v>4</v>
      </c>
      <c r="M266" t="s">
        <v>47</v>
      </c>
    </row>
    <row r="267" spans="1:13" x14ac:dyDescent="0.3">
      <c r="A267" t="s">
        <v>546</v>
      </c>
      <c r="B267" t="s">
        <v>547</v>
      </c>
      <c r="C267" t="s">
        <v>125</v>
      </c>
      <c r="D267" t="s">
        <v>59</v>
      </c>
      <c r="E267" t="s">
        <v>26</v>
      </c>
      <c r="F267" t="s">
        <v>83</v>
      </c>
      <c r="G267" t="s">
        <v>19</v>
      </c>
      <c r="H267" t="s">
        <v>29</v>
      </c>
      <c r="I267">
        <v>8184</v>
      </c>
      <c r="J267">
        <v>3</v>
      </c>
      <c r="K267">
        <v>3.7</v>
      </c>
      <c r="L267">
        <v>2</v>
      </c>
      <c r="M267" t="s">
        <v>192</v>
      </c>
    </row>
    <row r="268" spans="1:13" x14ac:dyDescent="0.3">
      <c r="A268" t="s">
        <v>548</v>
      </c>
      <c r="B268" t="s">
        <v>549</v>
      </c>
      <c r="C268" t="s">
        <v>170</v>
      </c>
      <c r="D268" t="s">
        <v>79</v>
      </c>
      <c r="E268" t="s">
        <v>26</v>
      </c>
      <c r="F268" t="s">
        <v>83</v>
      </c>
      <c r="G268" t="s">
        <v>54</v>
      </c>
      <c r="H268" t="s">
        <v>36</v>
      </c>
      <c r="I268">
        <v>62524</v>
      </c>
      <c r="J268">
        <v>7</v>
      </c>
      <c r="K268">
        <v>4.8</v>
      </c>
      <c r="L268">
        <v>8</v>
      </c>
      <c r="M268" t="s">
        <v>55</v>
      </c>
    </row>
    <row r="269" spans="1:13" x14ac:dyDescent="0.3">
      <c r="A269" t="s">
        <v>550</v>
      </c>
      <c r="B269" t="s">
        <v>252</v>
      </c>
      <c r="C269" t="s">
        <v>146</v>
      </c>
      <c r="D269" t="s">
        <v>16</v>
      </c>
      <c r="E269" t="s">
        <v>17</v>
      </c>
      <c r="F269" t="s">
        <v>53</v>
      </c>
      <c r="G269" t="s">
        <v>104</v>
      </c>
      <c r="H269" t="s">
        <v>64</v>
      </c>
      <c r="I269">
        <v>4840</v>
      </c>
      <c r="J269">
        <v>8</v>
      </c>
      <c r="K269">
        <v>4.8</v>
      </c>
      <c r="L269">
        <v>4</v>
      </c>
      <c r="M269" t="s">
        <v>30</v>
      </c>
    </row>
    <row r="270" spans="1:13" x14ac:dyDescent="0.3">
      <c r="A270" t="s">
        <v>551</v>
      </c>
      <c r="B270" t="s">
        <v>350</v>
      </c>
      <c r="C270" t="s">
        <v>15</v>
      </c>
      <c r="D270" t="s">
        <v>16</v>
      </c>
      <c r="E270" t="s">
        <v>17</v>
      </c>
      <c r="F270" t="s">
        <v>83</v>
      </c>
      <c r="G270" t="s">
        <v>19</v>
      </c>
      <c r="H270" t="s">
        <v>29</v>
      </c>
      <c r="I270">
        <v>895</v>
      </c>
      <c r="J270">
        <v>1</v>
      </c>
      <c r="K270">
        <v>3.4</v>
      </c>
      <c r="L270">
        <v>1</v>
      </c>
      <c r="M270" t="s">
        <v>80</v>
      </c>
    </row>
    <row r="271" spans="1:13" x14ac:dyDescent="0.3">
      <c r="A271" t="s">
        <v>552</v>
      </c>
      <c r="B271" t="s">
        <v>547</v>
      </c>
      <c r="C271" t="s">
        <v>103</v>
      </c>
      <c r="D271" t="s">
        <v>97</v>
      </c>
      <c r="E271" t="s">
        <v>35</v>
      </c>
      <c r="F271" t="s">
        <v>60</v>
      </c>
      <c r="G271" t="s">
        <v>28</v>
      </c>
      <c r="H271" t="s">
        <v>64</v>
      </c>
      <c r="I271">
        <v>237105</v>
      </c>
      <c r="J271">
        <v>5</v>
      </c>
      <c r="K271">
        <v>3.9</v>
      </c>
      <c r="L271">
        <v>8</v>
      </c>
      <c r="M271" t="s">
        <v>192</v>
      </c>
    </row>
    <row r="272" spans="1:13" x14ac:dyDescent="0.3">
      <c r="A272" t="s">
        <v>553</v>
      </c>
      <c r="B272" t="s">
        <v>106</v>
      </c>
      <c r="C272" t="s">
        <v>24</v>
      </c>
      <c r="D272" t="s">
        <v>147</v>
      </c>
      <c r="E272" t="s">
        <v>52</v>
      </c>
      <c r="F272" t="s">
        <v>100</v>
      </c>
      <c r="G272" t="s">
        <v>28</v>
      </c>
      <c r="H272" t="s">
        <v>29</v>
      </c>
      <c r="I272">
        <v>674</v>
      </c>
      <c r="J272">
        <v>1</v>
      </c>
      <c r="K272">
        <v>4.5999999999999996</v>
      </c>
      <c r="L272">
        <v>8</v>
      </c>
      <c r="M272" t="s">
        <v>80</v>
      </c>
    </row>
    <row r="273" spans="1:13" x14ac:dyDescent="0.3">
      <c r="A273" t="s">
        <v>554</v>
      </c>
      <c r="B273" t="s">
        <v>555</v>
      </c>
      <c r="C273" t="s">
        <v>170</v>
      </c>
      <c r="D273" t="s">
        <v>25</v>
      </c>
      <c r="E273" t="s">
        <v>26</v>
      </c>
      <c r="F273" t="s">
        <v>18</v>
      </c>
      <c r="G273" t="s">
        <v>19</v>
      </c>
      <c r="H273" t="s">
        <v>29</v>
      </c>
      <c r="I273">
        <v>24060</v>
      </c>
      <c r="J273">
        <v>3</v>
      </c>
      <c r="K273">
        <v>3.3</v>
      </c>
      <c r="L273">
        <v>5</v>
      </c>
      <c r="M273" t="s">
        <v>119</v>
      </c>
    </row>
    <row r="274" spans="1:13" x14ac:dyDescent="0.3">
      <c r="A274" t="s">
        <v>556</v>
      </c>
      <c r="B274" t="s">
        <v>557</v>
      </c>
      <c r="C274" t="s">
        <v>15</v>
      </c>
      <c r="D274" t="s">
        <v>25</v>
      </c>
      <c r="E274" t="s">
        <v>26</v>
      </c>
      <c r="F274" t="s">
        <v>27</v>
      </c>
      <c r="G274" t="s">
        <v>19</v>
      </c>
      <c r="H274" t="s">
        <v>64</v>
      </c>
      <c r="I274">
        <v>39788</v>
      </c>
      <c r="J274">
        <v>4</v>
      </c>
      <c r="K274">
        <v>4.8</v>
      </c>
      <c r="L274">
        <v>1</v>
      </c>
      <c r="M274" t="s">
        <v>47</v>
      </c>
    </row>
    <row r="275" spans="1:13" x14ac:dyDescent="0.3">
      <c r="A275" t="s">
        <v>558</v>
      </c>
      <c r="B275" t="s">
        <v>559</v>
      </c>
      <c r="C275" t="s">
        <v>50</v>
      </c>
      <c r="D275" t="s">
        <v>159</v>
      </c>
      <c r="E275" t="s">
        <v>42</v>
      </c>
      <c r="F275" t="s">
        <v>83</v>
      </c>
      <c r="G275" t="s">
        <v>54</v>
      </c>
      <c r="H275" t="s">
        <v>64</v>
      </c>
      <c r="I275">
        <v>23824</v>
      </c>
      <c r="J275">
        <v>8</v>
      </c>
      <c r="K275">
        <v>4.0999999999999996</v>
      </c>
      <c r="L275">
        <v>7</v>
      </c>
      <c r="M275" t="s">
        <v>87</v>
      </c>
    </row>
    <row r="276" spans="1:13" x14ac:dyDescent="0.3">
      <c r="A276" t="s">
        <v>560</v>
      </c>
      <c r="B276" t="s">
        <v>561</v>
      </c>
      <c r="C276" t="s">
        <v>133</v>
      </c>
      <c r="D276" t="s">
        <v>90</v>
      </c>
      <c r="E276" t="s">
        <v>42</v>
      </c>
      <c r="F276" t="s">
        <v>18</v>
      </c>
      <c r="G276" t="s">
        <v>54</v>
      </c>
      <c r="H276" t="s">
        <v>36</v>
      </c>
      <c r="I276">
        <v>38192</v>
      </c>
      <c r="J276">
        <v>8</v>
      </c>
      <c r="K276">
        <v>3.2</v>
      </c>
      <c r="L276">
        <v>7</v>
      </c>
      <c r="M276" t="s">
        <v>87</v>
      </c>
    </row>
    <row r="277" spans="1:13" x14ac:dyDescent="0.3">
      <c r="A277" t="s">
        <v>562</v>
      </c>
      <c r="B277" t="s">
        <v>62</v>
      </c>
      <c r="C277" t="s">
        <v>170</v>
      </c>
      <c r="D277" t="s">
        <v>59</v>
      </c>
      <c r="E277" t="s">
        <v>26</v>
      </c>
      <c r="F277" t="s">
        <v>100</v>
      </c>
      <c r="G277" t="s">
        <v>28</v>
      </c>
      <c r="H277" t="s">
        <v>29</v>
      </c>
      <c r="I277">
        <v>6756</v>
      </c>
      <c r="J277">
        <v>4</v>
      </c>
      <c r="K277">
        <v>4.7</v>
      </c>
      <c r="L277">
        <v>8</v>
      </c>
      <c r="M277" t="s">
        <v>65</v>
      </c>
    </row>
    <row r="278" spans="1:13" x14ac:dyDescent="0.3">
      <c r="A278" t="s">
        <v>563</v>
      </c>
      <c r="B278" t="s">
        <v>564</v>
      </c>
      <c r="C278" t="s">
        <v>68</v>
      </c>
      <c r="D278" t="s">
        <v>41</v>
      </c>
      <c r="E278" t="s">
        <v>42</v>
      </c>
      <c r="F278" t="s">
        <v>18</v>
      </c>
      <c r="G278" t="s">
        <v>19</v>
      </c>
      <c r="H278" t="s">
        <v>64</v>
      </c>
      <c r="I278">
        <v>23560</v>
      </c>
      <c r="J278">
        <v>4</v>
      </c>
      <c r="K278">
        <v>4.2</v>
      </c>
      <c r="L278">
        <v>6</v>
      </c>
      <c r="M278" t="s">
        <v>87</v>
      </c>
    </row>
    <row r="279" spans="1:13" x14ac:dyDescent="0.3">
      <c r="A279" t="s">
        <v>565</v>
      </c>
      <c r="B279" t="s">
        <v>111</v>
      </c>
      <c r="C279" t="s">
        <v>170</v>
      </c>
      <c r="D279" t="s">
        <v>51</v>
      </c>
      <c r="E279" t="s">
        <v>52</v>
      </c>
      <c r="F279" t="s">
        <v>18</v>
      </c>
      <c r="G279" t="s">
        <v>28</v>
      </c>
      <c r="H279" t="s">
        <v>36</v>
      </c>
      <c r="I279">
        <v>5260</v>
      </c>
      <c r="J279">
        <v>5</v>
      </c>
      <c r="K279">
        <v>3.6</v>
      </c>
      <c r="L279">
        <v>4</v>
      </c>
      <c r="M279" t="s">
        <v>87</v>
      </c>
    </row>
    <row r="280" spans="1:13" x14ac:dyDescent="0.3">
      <c r="A280" t="s">
        <v>566</v>
      </c>
      <c r="B280" t="s">
        <v>396</v>
      </c>
      <c r="C280" t="s">
        <v>78</v>
      </c>
      <c r="D280" t="s">
        <v>25</v>
      </c>
      <c r="E280" t="s">
        <v>26</v>
      </c>
      <c r="F280" t="s">
        <v>60</v>
      </c>
      <c r="G280" t="s">
        <v>28</v>
      </c>
      <c r="H280" t="s">
        <v>20</v>
      </c>
      <c r="I280">
        <v>6968</v>
      </c>
      <c r="J280">
        <v>8</v>
      </c>
      <c r="K280">
        <v>4.2</v>
      </c>
      <c r="L280">
        <v>1</v>
      </c>
      <c r="M280" t="s">
        <v>47</v>
      </c>
    </row>
    <row r="281" spans="1:13" x14ac:dyDescent="0.3">
      <c r="A281" t="s">
        <v>567</v>
      </c>
      <c r="B281" t="s">
        <v>77</v>
      </c>
      <c r="C281" t="s">
        <v>103</v>
      </c>
      <c r="D281" t="s">
        <v>79</v>
      </c>
      <c r="E281" t="s">
        <v>26</v>
      </c>
      <c r="F281" t="s">
        <v>60</v>
      </c>
      <c r="G281" t="s">
        <v>104</v>
      </c>
      <c r="H281" t="s">
        <v>29</v>
      </c>
      <c r="I281">
        <v>15318</v>
      </c>
      <c r="J281">
        <v>2</v>
      </c>
      <c r="K281">
        <v>5</v>
      </c>
      <c r="L281">
        <v>4</v>
      </c>
      <c r="M281" t="s">
        <v>80</v>
      </c>
    </row>
    <row r="282" spans="1:13" x14ac:dyDescent="0.3">
      <c r="A282" t="s">
        <v>568</v>
      </c>
      <c r="B282" t="s">
        <v>385</v>
      </c>
      <c r="C282" t="s">
        <v>179</v>
      </c>
      <c r="D282" t="s">
        <v>159</v>
      </c>
      <c r="E282" t="s">
        <v>42</v>
      </c>
      <c r="F282" t="s">
        <v>83</v>
      </c>
      <c r="G282" t="s">
        <v>104</v>
      </c>
      <c r="H282" t="s">
        <v>29</v>
      </c>
      <c r="I282">
        <v>36309</v>
      </c>
      <c r="J282">
        <v>7</v>
      </c>
      <c r="K282">
        <v>4.5</v>
      </c>
      <c r="L282">
        <v>4</v>
      </c>
      <c r="M282" t="s">
        <v>80</v>
      </c>
    </row>
    <row r="283" spans="1:13" x14ac:dyDescent="0.3">
      <c r="A283" t="s">
        <v>569</v>
      </c>
      <c r="B283" t="s">
        <v>570</v>
      </c>
      <c r="C283" t="s">
        <v>78</v>
      </c>
      <c r="D283" t="s">
        <v>63</v>
      </c>
      <c r="E283" t="s">
        <v>52</v>
      </c>
      <c r="F283" t="s">
        <v>53</v>
      </c>
      <c r="G283" t="s">
        <v>28</v>
      </c>
      <c r="H283" t="s">
        <v>36</v>
      </c>
      <c r="I283">
        <v>4332</v>
      </c>
      <c r="J283">
        <v>6</v>
      </c>
      <c r="K283">
        <v>4.2</v>
      </c>
      <c r="L283">
        <v>7</v>
      </c>
      <c r="M283" t="s">
        <v>65</v>
      </c>
    </row>
    <row r="284" spans="1:13" x14ac:dyDescent="0.3">
      <c r="A284" t="s">
        <v>571</v>
      </c>
      <c r="B284" t="s">
        <v>143</v>
      </c>
      <c r="C284" t="s">
        <v>40</v>
      </c>
      <c r="D284" t="s">
        <v>25</v>
      </c>
      <c r="E284" t="s">
        <v>26</v>
      </c>
      <c r="F284" t="s">
        <v>27</v>
      </c>
      <c r="G284" t="s">
        <v>104</v>
      </c>
      <c r="H284" t="s">
        <v>20</v>
      </c>
      <c r="I284">
        <v>36218</v>
      </c>
      <c r="J284">
        <v>7</v>
      </c>
      <c r="K284">
        <v>4.5999999999999996</v>
      </c>
      <c r="L284">
        <v>3</v>
      </c>
      <c r="M284" t="s">
        <v>144</v>
      </c>
    </row>
    <row r="285" spans="1:13" x14ac:dyDescent="0.3">
      <c r="A285" t="s">
        <v>572</v>
      </c>
      <c r="B285" t="s">
        <v>573</v>
      </c>
      <c r="C285" t="s">
        <v>78</v>
      </c>
      <c r="D285" t="s">
        <v>218</v>
      </c>
      <c r="E285" t="s">
        <v>17</v>
      </c>
      <c r="F285" t="s">
        <v>60</v>
      </c>
      <c r="G285" t="s">
        <v>19</v>
      </c>
      <c r="H285" t="s">
        <v>29</v>
      </c>
      <c r="I285">
        <v>1034</v>
      </c>
      <c r="J285">
        <v>1</v>
      </c>
      <c r="K285">
        <v>4.5</v>
      </c>
      <c r="L285">
        <v>4</v>
      </c>
      <c r="M285" t="s">
        <v>37</v>
      </c>
    </row>
    <row r="286" spans="1:13" x14ac:dyDescent="0.3">
      <c r="A286" t="s">
        <v>574</v>
      </c>
      <c r="B286" t="s">
        <v>454</v>
      </c>
      <c r="C286" t="s">
        <v>45</v>
      </c>
      <c r="D286" t="s">
        <v>116</v>
      </c>
      <c r="E286" t="s">
        <v>17</v>
      </c>
      <c r="F286" t="s">
        <v>60</v>
      </c>
      <c r="G286" t="s">
        <v>19</v>
      </c>
      <c r="H286" t="s">
        <v>29</v>
      </c>
      <c r="I286">
        <v>11921</v>
      </c>
      <c r="J286">
        <v>7</v>
      </c>
      <c r="K286">
        <v>4.5</v>
      </c>
      <c r="L286">
        <v>4</v>
      </c>
      <c r="M286" t="s">
        <v>55</v>
      </c>
    </row>
    <row r="287" spans="1:13" x14ac:dyDescent="0.3">
      <c r="A287" t="s">
        <v>575</v>
      </c>
      <c r="B287" t="s">
        <v>576</v>
      </c>
      <c r="C287" t="s">
        <v>50</v>
      </c>
      <c r="D287" t="s">
        <v>79</v>
      </c>
      <c r="E287" t="s">
        <v>26</v>
      </c>
      <c r="F287" t="s">
        <v>18</v>
      </c>
      <c r="G287" t="s">
        <v>28</v>
      </c>
      <c r="H287" t="s">
        <v>29</v>
      </c>
      <c r="I287">
        <v>18235</v>
      </c>
      <c r="J287">
        <v>5</v>
      </c>
      <c r="K287">
        <v>4.5</v>
      </c>
      <c r="L287">
        <v>2</v>
      </c>
      <c r="M287" t="s">
        <v>37</v>
      </c>
    </row>
    <row r="288" spans="1:13" x14ac:dyDescent="0.3">
      <c r="A288" t="s">
        <v>577</v>
      </c>
      <c r="B288" t="s">
        <v>261</v>
      </c>
      <c r="C288" t="s">
        <v>33</v>
      </c>
      <c r="D288" t="s">
        <v>59</v>
      </c>
      <c r="E288" t="s">
        <v>26</v>
      </c>
      <c r="F288" t="s">
        <v>83</v>
      </c>
      <c r="G288" t="s">
        <v>104</v>
      </c>
      <c r="H288" t="s">
        <v>36</v>
      </c>
      <c r="I288">
        <v>25320</v>
      </c>
      <c r="J288">
        <v>3</v>
      </c>
      <c r="K288">
        <v>4.5</v>
      </c>
      <c r="L288">
        <v>3</v>
      </c>
      <c r="M288" t="s">
        <v>80</v>
      </c>
    </row>
    <row r="289" spans="1:13" x14ac:dyDescent="0.3">
      <c r="A289" t="s">
        <v>578</v>
      </c>
      <c r="B289" t="s">
        <v>579</v>
      </c>
      <c r="C289" t="s">
        <v>133</v>
      </c>
      <c r="D289" t="s">
        <v>59</v>
      </c>
      <c r="E289" t="s">
        <v>26</v>
      </c>
      <c r="F289" t="s">
        <v>100</v>
      </c>
      <c r="G289" t="s">
        <v>28</v>
      </c>
      <c r="H289" t="s">
        <v>36</v>
      </c>
      <c r="I289">
        <v>22872</v>
      </c>
      <c r="J289">
        <v>6</v>
      </c>
      <c r="K289">
        <v>4.0999999999999996</v>
      </c>
      <c r="L289">
        <v>3</v>
      </c>
      <c r="M289" t="s">
        <v>65</v>
      </c>
    </row>
    <row r="290" spans="1:13" x14ac:dyDescent="0.3">
      <c r="A290" t="s">
        <v>580</v>
      </c>
      <c r="B290" t="s">
        <v>581</v>
      </c>
      <c r="C290" t="s">
        <v>68</v>
      </c>
      <c r="D290" t="s">
        <v>34</v>
      </c>
      <c r="E290" t="s">
        <v>35</v>
      </c>
      <c r="F290" t="s">
        <v>27</v>
      </c>
      <c r="G290" t="s">
        <v>104</v>
      </c>
      <c r="H290" t="s">
        <v>64</v>
      </c>
      <c r="I290">
        <v>245874</v>
      </c>
      <c r="J290">
        <v>6</v>
      </c>
      <c r="K290">
        <v>4.2</v>
      </c>
      <c r="L290">
        <v>1</v>
      </c>
      <c r="M290" t="s">
        <v>37</v>
      </c>
    </row>
    <row r="291" spans="1:13" x14ac:dyDescent="0.3">
      <c r="A291" t="s">
        <v>582</v>
      </c>
      <c r="B291" t="s">
        <v>583</v>
      </c>
      <c r="C291" t="s">
        <v>112</v>
      </c>
      <c r="D291" t="s">
        <v>63</v>
      </c>
      <c r="E291" t="s">
        <v>52</v>
      </c>
      <c r="F291" t="s">
        <v>53</v>
      </c>
      <c r="G291" t="s">
        <v>28</v>
      </c>
      <c r="H291" t="s">
        <v>64</v>
      </c>
      <c r="I291">
        <v>4284</v>
      </c>
      <c r="J291">
        <v>6</v>
      </c>
      <c r="K291">
        <v>4.5</v>
      </c>
      <c r="L291">
        <v>1</v>
      </c>
      <c r="M291" t="s">
        <v>144</v>
      </c>
    </row>
    <row r="292" spans="1:13" x14ac:dyDescent="0.3">
      <c r="A292" t="s">
        <v>584</v>
      </c>
      <c r="B292" t="s">
        <v>585</v>
      </c>
      <c r="C292" t="s">
        <v>75</v>
      </c>
      <c r="D292" t="s">
        <v>218</v>
      </c>
      <c r="E292" t="s">
        <v>17</v>
      </c>
      <c r="F292" t="s">
        <v>83</v>
      </c>
      <c r="G292" t="s">
        <v>19</v>
      </c>
      <c r="H292" t="s">
        <v>64</v>
      </c>
      <c r="I292">
        <v>3824</v>
      </c>
      <c r="J292">
        <v>4</v>
      </c>
      <c r="K292">
        <v>4.9000000000000004</v>
      </c>
      <c r="L292">
        <v>1</v>
      </c>
      <c r="M292" t="s">
        <v>192</v>
      </c>
    </row>
    <row r="293" spans="1:13" x14ac:dyDescent="0.3">
      <c r="A293" t="s">
        <v>586</v>
      </c>
      <c r="B293" t="s">
        <v>587</v>
      </c>
      <c r="C293" t="s">
        <v>75</v>
      </c>
      <c r="D293" t="s">
        <v>86</v>
      </c>
      <c r="E293" t="s">
        <v>17</v>
      </c>
      <c r="F293" t="s">
        <v>18</v>
      </c>
      <c r="G293" t="s">
        <v>54</v>
      </c>
      <c r="H293" t="s">
        <v>20</v>
      </c>
      <c r="I293">
        <v>11368</v>
      </c>
      <c r="J293">
        <v>7</v>
      </c>
      <c r="K293">
        <v>4.5</v>
      </c>
      <c r="L293">
        <v>1</v>
      </c>
      <c r="M293" t="s">
        <v>30</v>
      </c>
    </row>
    <row r="294" spans="1:13" x14ac:dyDescent="0.3">
      <c r="A294" t="s">
        <v>588</v>
      </c>
      <c r="B294" t="s">
        <v>589</v>
      </c>
      <c r="C294" t="s">
        <v>15</v>
      </c>
      <c r="D294" t="s">
        <v>165</v>
      </c>
      <c r="E294" t="s">
        <v>35</v>
      </c>
      <c r="F294" t="s">
        <v>60</v>
      </c>
      <c r="G294" t="s">
        <v>54</v>
      </c>
      <c r="H294" t="s">
        <v>36</v>
      </c>
      <c r="I294">
        <v>213440</v>
      </c>
      <c r="J294">
        <v>4</v>
      </c>
      <c r="K294">
        <v>3.9</v>
      </c>
      <c r="L294">
        <v>6</v>
      </c>
      <c r="M294" t="s">
        <v>87</v>
      </c>
    </row>
    <row r="295" spans="1:13" x14ac:dyDescent="0.3">
      <c r="A295" t="s">
        <v>590</v>
      </c>
      <c r="B295" t="s">
        <v>99</v>
      </c>
      <c r="C295" t="s">
        <v>45</v>
      </c>
      <c r="D295" t="s">
        <v>25</v>
      </c>
      <c r="E295" t="s">
        <v>26</v>
      </c>
      <c r="F295" t="s">
        <v>18</v>
      </c>
      <c r="G295" t="s">
        <v>104</v>
      </c>
      <c r="H295" t="s">
        <v>64</v>
      </c>
      <c r="I295">
        <v>2538</v>
      </c>
      <c r="J295">
        <v>1</v>
      </c>
      <c r="K295">
        <v>3.7</v>
      </c>
      <c r="L295">
        <v>5</v>
      </c>
      <c r="M295" t="s">
        <v>30</v>
      </c>
    </row>
    <row r="296" spans="1:13" x14ac:dyDescent="0.3">
      <c r="A296" t="s">
        <v>591</v>
      </c>
      <c r="B296" t="s">
        <v>167</v>
      </c>
      <c r="C296" t="s">
        <v>72</v>
      </c>
      <c r="D296" t="s">
        <v>90</v>
      </c>
      <c r="E296" t="s">
        <v>42</v>
      </c>
      <c r="F296" t="s">
        <v>53</v>
      </c>
      <c r="G296" t="s">
        <v>104</v>
      </c>
      <c r="H296" t="s">
        <v>36</v>
      </c>
      <c r="I296">
        <v>2501</v>
      </c>
      <c r="J296">
        <v>1</v>
      </c>
      <c r="K296">
        <v>4.5</v>
      </c>
      <c r="L296">
        <v>5</v>
      </c>
      <c r="M296" t="s">
        <v>119</v>
      </c>
    </row>
    <row r="297" spans="1:13" x14ac:dyDescent="0.3">
      <c r="A297" t="s">
        <v>592</v>
      </c>
      <c r="B297" t="s">
        <v>593</v>
      </c>
      <c r="C297" t="s">
        <v>179</v>
      </c>
      <c r="D297" t="s">
        <v>79</v>
      </c>
      <c r="E297" t="s">
        <v>26</v>
      </c>
      <c r="F297" t="s">
        <v>60</v>
      </c>
      <c r="G297" t="s">
        <v>19</v>
      </c>
      <c r="H297" t="s">
        <v>20</v>
      </c>
      <c r="I297">
        <v>2194</v>
      </c>
      <c r="J297">
        <v>1</v>
      </c>
      <c r="K297">
        <v>3.7</v>
      </c>
      <c r="L297">
        <v>6</v>
      </c>
      <c r="M297" t="s">
        <v>80</v>
      </c>
    </row>
    <row r="298" spans="1:13" x14ac:dyDescent="0.3">
      <c r="A298" t="s">
        <v>594</v>
      </c>
      <c r="B298" t="s">
        <v>595</v>
      </c>
      <c r="C298" t="s">
        <v>78</v>
      </c>
      <c r="D298" t="s">
        <v>63</v>
      </c>
      <c r="E298" t="s">
        <v>52</v>
      </c>
      <c r="F298" t="s">
        <v>18</v>
      </c>
      <c r="G298" t="s">
        <v>104</v>
      </c>
      <c r="H298" t="s">
        <v>36</v>
      </c>
      <c r="I298">
        <v>3595</v>
      </c>
      <c r="J298">
        <v>5</v>
      </c>
      <c r="K298">
        <v>4.7</v>
      </c>
      <c r="L298">
        <v>8</v>
      </c>
      <c r="M298" t="s">
        <v>192</v>
      </c>
    </row>
    <row r="299" spans="1:13" x14ac:dyDescent="0.3">
      <c r="A299" t="s">
        <v>596</v>
      </c>
      <c r="B299" t="s">
        <v>597</v>
      </c>
      <c r="C299" t="s">
        <v>179</v>
      </c>
      <c r="D299" t="s">
        <v>113</v>
      </c>
      <c r="E299" t="s">
        <v>35</v>
      </c>
      <c r="F299" t="s">
        <v>53</v>
      </c>
      <c r="G299" t="s">
        <v>28</v>
      </c>
      <c r="H299" t="s">
        <v>64</v>
      </c>
      <c r="I299">
        <v>154440</v>
      </c>
      <c r="J299">
        <v>8</v>
      </c>
      <c r="K299">
        <v>3.7</v>
      </c>
      <c r="L299">
        <v>2</v>
      </c>
      <c r="M299" t="s">
        <v>37</v>
      </c>
    </row>
    <row r="300" spans="1:13" x14ac:dyDescent="0.3">
      <c r="A300" t="s">
        <v>598</v>
      </c>
      <c r="B300" t="s">
        <v>599</v>
      </c>
      <c r="C300" t="s">
        <v>24</v>
      </c>
      <c r="D300" t="s">
        <v>165</v>
      </c>
      <c r="E300" t="s">
        <v>35</v>
      </c>
      <c r="F300" t="s">
        <v>18</v>
      </c>
      <c r="G300" t="s">
        <v>104</v>
      </c>
      <c r="H300" t="s">
        <v>20</v>
      </c>
      <c r="I300">
        <v>383140</v>
      </c>
      <c r="J300">
        <v>5</v>
      </c>
      <c r="K300">
        <v>4.7</v>
      </c>
      <c r="L300">
        <v>7</v>
      </c>
      <c r="M300" t="s">
        <v>119</v>
      </c>
    </row>
    <row r="301" spans="1:13" x14ac:dyDescent="0.3">
      <c r="A301" t="s">
        <v>600</v>
      </c>
      <c r="B301" t="s">
        <v>115</v>
      </c>
      <c r="C301" t="s">
        <v>125</v>
      </c>
      <c r="D301" t="s">
        <v>51</v>
      </c>
      <c r="E301" t="s">
        <v>52</v>
      </c>
      <c r="F301" t="s">
        <v>100</v>
      </c>
      <c r="G301" t="s">
        <v>54</v>
      </c>
      <c r="H301" t="s">
        <v>20</v>
      </c>
      <c r="I301">
        <v>9648</v>
      </c>
      <c r="J301">
        <v>6</v>
      </c>
      <c r="K301">
        <v>3.8</v>
      </c>
      <c r="L301">
        <v>5</v>
      </c>
      <c r="M301" t="s">
        <v>21</v>
      </c>
    </row>
    <row r="302" spans="1:13" x14ac:dyDescent="0.3">
      <c r="A302" t="s">
        <v>601</v>
      </c>
      <c r="B302" t="s">
        <v>237</v>
      </c>
      <c r="C302" t="s">
        <v>112</v>
      </c>
      <c r="D302" t="s">
        <v>25</v>
      </c>
      <c r="E302" t="s">
        <v>26</v>
      </c>
      <c r="F302" t="s">
        <v>27</v>
      </c>
      <c r="G302" t="s">
        <v>54</v>
      </c>
      <c r="H302" t="s">
        <v>64</v>
      </c>
      <c r="I302">
        <v>6156</v>
      </c>
      <c r="J302">
        <v>3</v>
      </c>
      <c r="K302">
        <v>4.5</v>
      </c>
      <c r="L302">
        <v>1</v>
      </c>
      <c r="M302" t="s">
        <v>21</v>
      </c>
    </row>
    <row r="303" spans="1:13" x14ac:dyDescent="0.3">
      <c r="A303" t="s">
        <v>602</v>
      </c>
      <c r="B303" t="s">
        <v>603</v>
      </c>
      <c r="C303" t="s">
        <v>72</v>
      </c>
      <c r="D303" t="s">
        <v>79</v>
      </c>
      <c r="E303" t="s">
        <v>26</v>
      </c>
      <c r="F303" t="s">
        <v>60</v>
      </c>
      <c r="G303" t="s">
        <v>54</v>
      </c>
      <c r="H303" t="s">
        <v>64</v>
      </c>
      <c r="I303">
        <v>33965</v>
      </c>
      <c r="J303">
        <v>5</v>
      </c>
      <c r="K303">
        <v>3.9</v>
      </c>
      <c r="L303">
        <v>5</v>
      </c>
      <c r="M303" t="s">
        <v>144</v>
      </c>
    </row>
    <row r="304" spans="1:13" x14ac:dyDescent="0.3">
      <c r="A304" t="s">
        <v>604</v>
      </c>
      <c r="B304" t="s">
        <v>605</v>
      </c>
      <c r="C304" t="s">
        <v>125</v>
      </c>
      <c r="D304" t="s">
        <v>165</v>
      </c>
      <c r="E304" t="s">
        <v>35</v>
      </c>
      <c r="F304" t="s">
        <v>53</v>
      </c>
      <c r="G304" t="s">
        <v>54</v>
      </c>
      <c r="H304" t="s">
        <v>20</v>
      </c>
      <c r="I304">
        <v>279552</v>
      </c>
      <c r="J304">
        <v>4</v>
      </c>
      <c r="K304">
        <v>3.5</v>
      </c>
      <c r="L304">
        <v>3</v>
      </c>
      <c r="M304" t="s">
        <v>144</v>
      </c>
    </row>
    <row r="305" spans="1:13" x14ac:dyDescent="0.3">
      <c r="A305" t="s">
        <v>606</v>
      </c>
      <c r="B305" t="s">
        <v>242</v>
      </c>
      <c r="C305" t="s">
        <v>50</v>
      </c>
      <c r="D305" t="s">
        <v>159</v>
      </c>
      <c r="E305" t="s">
        <v>42</v>
      </c>
      <c r="F305" t="s">
        <v>60</v>
      </c>
      <c r="G305" t="s">
        <v>28</v>
      </c>
      <c r="H305" t="s">
        <v>36</v>
      </c>
      <c r="I305">
        <v>11965</v>
      </c>
      <c r="J305">
        <v>5</v>
      </c>
      <c r="K305">
        <v>4.8</v>
      </c>
      <c r="L305">
        <v>6</v>
      </c>
      <c r="M305" t="s">
        <v>87</v>
      </c>
    </row>
    <row r="306" spans="1:13" x14ac:dyDescent="0.3">
      <c r="A306" t="s">
        <v>607</v>
      </c>
      <c r="B306" t="s">
        <v>183</v>
      </c>
      <c r="C306" t="s">
        <v>58</v>
      </c>
      <c r="D306" t="s">
        <v>218</v>
      </c>
      <c r="E306" t="s">
        <v>17</v>
      </c>
      <c r="F306" t="s">
        <v>27</v>
      </c>
      <c r="G306" t="s">
        <v>54</v>
      </c>
      <c r="H306" t="s">
        <v>29</v>
      </c>
      <c r="I306">
        <v>4195</v>
      </c>
      <c r="J306">
        <v>5</v>
      </c>
      <c r="K306">
        <v>4.4000000000000004</v>
      </c>
      <c r="L306">
        <v>6</v>
      </c>
      <c r="M306" t="s">
        <v>87</v>
      </c>
    </row>
    <row r="307" spans="1:13" x14ac:dyDescent="0.3">
      <c r="A307" t="s">
        <v>608</v>
      </c>
      <c r="B307" t="s">
        <v>174</v>
      </c>
      <c r="C307" t="s">
        <v>146</v>
      </c>
      <c r="D307" t="s">
        <v>159</v>
      </c>
      <c r="E307" t="s">
        <v>42</v>
      </c>
      <c r="F307" t="s">
        <v>83</v>
      </c>
      <c r="G307" t="s">
        <v>19</v>
      </c>
      <c r="H307" t="s">
        <v>36</v>
      </c>
      <c r="I307">
        <v>32543</v>
      </c>
      <c r="J307">
        <v>7</v>
      </c>
      <c r="K307">
        <v>3.2</v>
      </c>
      <c r="L307">
        <v>3</v>
      </c>
      <c r="M307" t="s">
        <v>65</v>
      </c>
    </row>
    <row r="308" spans="1:13" x14ac:dyDescent="0.3">
      <c r="A308" t="s">
        <v>609</v>
      </c>
      <c r="B308" t="s">
        <v>57</v>
      </c>
      <c r="C308" t="s">
        <v>170</v>
      </c>
      <c r="D308" t="s">
        <v>59</v>
      </c>
      <c r="E308" t="s">
        <v>26</v>
      </c>
      <c r="F308" t="s">
        <v>27</v>
      </c>
      <c r="G308" t="s">
        <v>54</v>
      </c>
      <c r="H308" t="s">
        <v>64</v>
      </c>
      <c r="I308">
        <v>8214</v>
      </c>
      <c r="J308">
        <v>3</v>
      </c>
      <c r="K308">
        <v>4.4000000000000004</v>
      </c>
      <c r="L308">
        <v>7</v>
      </c>
      <c r="M308" t="s">
        <v>37</v>
      </c>
    </row>
    <row r="309" spans="1:13" x14ac:dyDescent="0.3">
      <c r="A309" t="s">
        <v>610</v>
      </c>
      <c r="B309" t="s">
        <v>611</v>
      </c>
      <c r="C309" t="s">
        <v>72</v>
      </c>
      <c r="D309" t="s">
        <v>90</v>
      </c>
      <c r="E309" t="s">
        <v>42</v>
      </c>
      <c r="F309" t="s">
        <v>27</v>
      </c>
      <c r="G309" t="s">
        <v>54</v>
      </c>
      <c r="H309" t="s">
        <v>20</v>
      </c>
      <c r="I309">
        <v>8088</v>
      </c>
      <c r="J309">
        <v>3</v>
      </c>
      <c r="K309">
        <v>3.4</v>
      </c>
      <c r="L309">
        <v>3</v>
      </c>
      <c r="M309" t="s">
        <v>37</v>
      </c>
    </row>
    <row r="310" spans="1:13" x14ac:dyDescent="0.3">
      <c r="A310" t="s">
        <v>612</v>
      </c>
      <c r="B310" t="s">
        <v>533</v>
      </c>
      <c r="C310" t="s">
        <v>75</v>
      </c>
      <c r="D310" t="s">
        <v>86</v>
      </c>
      <c r="E310" t="s">
        <v>17</v>
      </c>
      <c r="F310" t="s">
        <v>83</v>
      </c>
      <c r="G310" t="s">
        <v>28</v>
      </c>
      <c r="H310" t="s">
        <v>64</v>
      </c>
      <c r="I310">
        <v>4074</v>
      </c>
      <c r="J310">
        <v>3</v>
      </c>
      <c r="K310">
        <v>3.2</v>
      </c>
      <c r="L310">
        <v>5</v>
      </c>
      <c r="M310" t="s">
        <v>21</v>
      </c>
    </row>
    <row r="311" spans="1:13" x14ac:dyDescent="0.3">
      <c r="A311" t="s">
        <v>613</v>
      </c>
      <c r="B311" t="s">
        <v>226</v>
      </c>
      <c r="C311" t="s">
        <v>24</v>
      </c>
      <c r="D311" t="s">
        <v>159</v>
      </c>
      <c r="E311" t="s">
        <v>42</v>
      </c>
      <c r="F311" t="s">
        <v>27</v>
      </c>
      <c r="G311" t="s">
        <v>104</v>
      </c>
      <c r="H311" t="s">
        <v>64</v>
      </c>
      <c r="I311">
        <v>15323</v>
      </c>
      <c r="J311">
        <v>7</v>
      </c>
      <c r="K311">
        <v>4.4000000000000004</v>
      </c>
      <c r="L311">
        <v>5</v>
      </c>
      <c r="M311" t="s">
        <v>37</v>
      </c>
    </row>
    <row r="312" spans="1:13" x14ac:dyDescent="0.3">
      <c r="A312" t="s">
        <v>614</v>
      </c>
      <c r="B312" t="s">
        <v>615</v>
      </c>
      <c r="C312" t="s">
        <v>72</v>
      </c>
      <c r="D312" t="s">
        <v>25</v>
      </c>
      <c r="E312" t="s">
        <v>26</v>
      </c>
      <c r="F312" t="s">
        <v>100</v>
      </c>
      <c r="G312" t="s">
        <v>54</v>
      </c>
      <c r="H312" t="s">
        <v>20</v>
      </c>
      <c r="I312">
        <v>28805</v>
      </c>
      <c r="J312">
        <v>7</v>
      </c>
      <c r="K312">
        <v>4.0999999999999996</v>
      </c>
      <c r="L312">
        <v>7</v>
      </c>
      <c r="M312" t="s">
        <v>37</v>
      </c>
    </row>
    <row r="313" spans="1:13" x14ac:dyDescent="0.3">
      <c r="A313" t="s">
        <v>616</v>
      </c>
      <c r="B313" t="s">
        <v>387</v>
      </c>
      <c r="C313" t="s">
        <v>112</v>
      </c>
      <c r="D313" t="s">
        <v>41</v>
      </c>
      <c r="E313" t="s">
        <v>42</v>
      </c>
      <c r="F313" t="s">
        <v>60</v>
      </c>
      <c r="G313" t="s">
        <v>104</v>
      </c>
      <c r="H313" t="s">
        <v>36</v>
      </c>
      <c r="I313">
        <v>11286</v>
      </c>
      <c r="J313">
        <v>2</v>
      </c>
      <c r="K313">
        <v>4.7</v>
      </c>
      <c r="L313">
        <v>7</v>
      </c>
      <c r="M313" t="s">
        <v>65</v>
      </c>
    </row>
    <row r="314" spans="1:13" x14ac:dyDescent="0.3">
      <c r="A314" t="s">
        <v>617</v>
      </c>
      <c r="B314" t="s">
        <v>615</v>
      </c>
      <c r="C314" t="s">
        <v>125</v>
      </c>
      <c r="D314" t="s">
        <v>69</v>
      </c>
      <c r="E314" t="s">
        <v>26</v>
      </c>
      <c r="F314" t="s">
        <v>83</v>
      </c>
      <c r="G314" t="s">
        <v>54</v>
      </c>
      <c r="H314" t="s">
        <v>29</v>
      </c>
      <c r="I314">
        <v>19200</v>
      </c>
      <c r="J314">
        <v>8</v>
      </c>
      <c r="K314">
        <v>4</v>
      </c>
      <c r="L314">
        <v>5</v>
      </c>
      <c r="M314" t="s">
        <v>37</v>
      </c>
    </row>
    <row r="315" spans="1:13" x14ac:dyDescent="0.3">
      <c r="A315" t="s">
        <v>618</v>
      </c>
      <c r="B315" t="s">
        <v>619</v>
      </c>
      <c r="C315" t="s">
        <v>179</v>
      </c>
      <c r="D315" t="s">
        <v>69</v>
      </c>
      <c r="E315" t="s">
        <v>26</v>
      </c>
      <c r="F315" t="s">
        <v>27</v>
      </c>
      <c r="G315" t="s">
        <v>104</v>
      </c>
      <c r="H315" t="s">
        <v>64</v>
      </c>
      <c r="I315">
        <v>10920</v>
      </c>
      <c r="J315">
        <v>4</v>
      </c>
      <c r="K315">
        <v>4.0999999999999996</v>
      </c>
      <c r="L315">
        <v>7</v>
      </c>
      <c r="M315" t="s">
        <v>21</v>
      </c>
    </row>
    <row r="316" spans="1:13" x14ac:dyDescent="0.3">
      <c r="A316" t="s">
        <v>620</v>
      </c>
      <c r="B316" t="s">
        <v>458</v>
      </c>
      <c r="C316" t="s">
        <v>50</v>
      </c>
      <c r="D316" t="s">
        <v>113</v>
      </c>
      <c r="E316" t="s">
        <v>35</v>
      </c>
      <c r="F316" t="s">
        <v>83</v>
      </c>
      <c r="G316" t="s">
        <v>28</v>
      </c>
      <c r="H316" t="s">
        <v>64</v>
      </c>
      <c r="I316">
        <v>257243</v>
      </c>
      <c r="J316">
        <v>7</v>
      </c>
      <c r="K316">
        <v>4.2</v>
      </c>
      <c r="L316">
        <v>5</v>
      </c>
      <c r="M316" t="s">
        <v>80</v>
      </c>
    </row>
    <row r="317" spans="1:13" x14ac:dyDescent="0.3">
      <c r="A317" t="s">
        <v>621</v>
      </c>
      <c r="B317" t="s">
        <v>622</v>
      </c>
      <c r="C317" t="s">
        <v>122</v>
      </c>
      <c r="D317" t="s">
        <v>109</v>
      </c>
      <c r="E317" t="s">
        <v>52</v>
      </c>
      <c r="F317" t="s">
        <v>60</v>
      </c>
      <c r="G317" t="s">
        <v>19</v>
      </c>
      <c r="H317" t="s">
        <v>36</v>
      </c>
      <c r="I317">
        <v>12048</v>
      </c>
      <c r="J317">
        <v>8</v>
      </c>
      <c r="K317">
        <v>4.5</v>
      </c>
      <c r="L317">
        <v>2</v>
      </c>
      <c r="M317" t="s">
        <v>30</v>
      </c>
    </row>
    <row r="318" spans="1:13" x14ac:dyDescent="0.3">
      <c r="A318" t="s">
        <v>623</v>
      </c>
      <c r="B318" t="s">
        <v>624</v>
      </c>
      <c r="C318" t="s">
        <v>75</v>
      </c>
      <c r="D318" t="s">
        <v>51</v>
      </c>
      <c r="E318" t="s">
        <v>52</v>
      </c>
      <c r="F318" t="s">
        <v>18</v>
      </c>
      <c r="G318" t="s">
        <v>104</v>
      </c>
      <c r="H318" t="s">
        <v>20</v>
      </c>
      <c r="I318">
        <v>1843</v>
      </c>
      <c r="J318">
        <v>1</v>
      </c>
      <c r="K318">
        <v>4</v>
      </c>
      <c r="L318">
        <v>7</v>
      </c>
      <c r="M318" t="s">
        <v>126</v>
      </c>
    </row>
    <row r="319" spans="1:13" x14ac:dyDescent="0.3">
      <c r="A319" t="s">
        <v>625</v>
      </c>
      <c r="B319" t="s">
        <v>626</v>
      </c>
      <c r="C319" t="s">
        <v>24</v>
      </c>
      <c r="D319" t="s">
        <v>113</v>
      </c>
      <c r="E319" t="s">
        <v>35</v>
      </c>
      <c r="F319" t="s">
        <v>27</v>
      </c>
      <c r="G319" t="s">
        <v>28</v>
      </c>
      <c r="H319" t="s">
        <v>64</v>
      </c>
      <c r="I319">
        <v>55013</v>
      </c>
      <c r="J319">
        <v>1</v>
      </c>
      <c r="K319">
        <v>4.0999999999999996</v>
      </c>
      <c r="L319">
        <v>1</v>
      </c>
      <c r="M319" t="s">
        <v>192</v>
      </c>
    </row>
    <row r="320" spans="1:13" x14ac:dyDescent="0.3">
      <c r="A320" t="s">
        <v>627</v>
      </c>
      <c r="B320" t="s">
        <v>275</v>
      </c>
      <c r="C320" t="s">
        <v>33</v>
      </c>
      <c r="D320" t="s">
        <v>86</v>
      </c>
      <c r="E320" t="s">
        <v>17</v>
      </c>
      <c r="F320" t="s">
        <v>53</v>
      </c>
      <c r="G320" t="s">
        <v>19</v>
      </c>
      <c r="H320" t="s">
        <v>36</v>
      </c>
      <c r="I320">
        <v>3490</v>
      </c>
      <c r="J320">
        <v>5</v>
      </c>
      <c r="K320">
        <v>4.5</v>
      </c>
      <c r="L320">
        <v>3</v>
      </c>
      <c r="M320" t="s">
        <v>119</v>
      </c>
    </row>
    <row r="321" spans="1:13" x14ac:dyDescent="0.3">
      <c r="A321" t="s">
        <v>628</v>
      </c>
      <c r="B321" t="s">
        <v>115</v>
      </c>
      <c r="C321" t="s">
        <v>75</v>
      </c>
      <c r="D321" t="s">
        <v>147</v>
      </c>
      <c r="E321" t="s">
        <v>52</v>
      </c>
      <c r="F321" t="s">
        <v>100</v>
      </c>
      <c r="G321" t="s">
        <v>104</v>
      </c>
      <c r="H321" t="s">
        <v>29</v>
      </c>
      <c r="I321">
        <v>13076</v>
      </c>
      <c r="J321">
        <v>7</v>
      </c>
      <c r="K321">
        <v>4.0999999999999996</v>
      </c>
      <c r="L321">
        <v>2</v>
      </c>
      <c r="M321" t="s">
        <v>21</v>
      </c>
    </row>
    <row r="322" spans="1:13" x14ac:dyDescent="0.3">
      <c r="A322" t="s">
        <v>629</v>
      </c>
      <c r="B322" t="s">
        <v>630</v>
      </c>
      <c r="C322" t="s">
        <v>78</v>
      </c>
      <c r="D322" t="s">
        <v>130</v>
      </c>
      <c r="E322" t="s">
        <v>35</v>
      </c>
      <c r="F322" t="s">
        <v>18</v>
      </c>
      <c r="G322" t="s">
        <v>104</v>
      </c>
      <c r="H322" t="s">
        <v>29</v>
      </c>
      <c r="I322">
        <v>311416</v>
      </c>
      <c r="J322">
        <v>4</v>
      </c>
      <c r="K322">
        <v>3.5</v>
      </c>
      <c r="L322">
        <v>2</v>
      </c>
      <c r="M322" t="s">
        <v>37</v>
      </c>
    </row>
    <row r="323" spans="1:13" x14ac:dyDescent="0.3">
      <c r="A323" t="s">
        <v>631</v>
      </c>
      <c r="B323" t="s">
        <v>587</v>
      </c>
      <c r="C323" t="s">
        <v>146</v>
      </c>
      <c r="D323" t="s">
        <v>218</v>
      </c>
      <c r="E323" t="s">
        <v>17</v>
      </c>
      <c r="F323" t="s">
        <v>27</v>
      </c>
      <c r="G323" t="s">
        <v>28</v>
      </c>
      <c r="H323" t="s">
        <v>36</v>
      </c>
      <c r="I323">
        <v>8605</v>
      </c>
      <c r="J323">
        <v>5</v>
      </c>
      <c r="K323">
        <v>4.5999999999999996</v>
      </c>
      <c r="L323">
        <v>6</v>
      </c>
      <c r="M323" t="s">
        <v>30</v>
      </c>
    </row>
    <row r="324" spans="1:13" x14ac:dyDescent="0.3">
      <c r="A324" t="s">
        <v>632</v>
      </c>
      <c r="B324" t="s">
        <v>533</v>
      </c>
      <c r="C324" t="s">
        <v>103</v>
      </c>
      <c r="D324" t="s">
        <v>41</v>
      </c>
      <c r="E324" t="s">
        <v>42</v>
      </c>
      <c r="F324" t="s">
        <v>83</v>
      </c>
      <c r="G324" t="s">
        <v>104</v>
      </c>
      <c r="H324" t="s">
        <v>36</v>
      </c>
      <c r="I324">
        <v>6572</v>
      </c>
      <c r="J324">
        <v>2</v>
      </c>
      <c r="K324">
        <v>4.9000000000000004</v>
      </c>
      <c r="L324">
        <v>1</v>
      </c>
      <c r="M324" t="s">
        <v>21</v>
      </c>
    </row>
    <row r="325" spans="1:13" x14ac:dyDescent="0.3">
      <c r="A325" t="s">
        <v>633</v>
      </c>
      <c r="B325" t="s">
        <v>559</v>
      </c>
      <c r="C325" t="s">
        <v>125</v>
      </c>
      <c r="D325" t="s">
        <v>46</v>
      </c>
      <c r="E325" t="s">
        <v>42</v>
      </c>
      <c r="F325" t="s">
        <v>27</v>
      </c>
      <c r="G325" t="s">
        <v>19</v>
      </c>
      <c r="H325" t="s">
        <v>20</v>
      </c>
      <c r="I325">
        <v>7470</v>
      </c>
      <c r="J325">
        <v>3</v>
      </c>
      <c r="K325">
        <v>3.7</v>
      </c>
      <c r="L325">
        <v>4</v>
      </c>
      <c r="M325" t="s">
        <v>87</v>
      </c>
    </row>
    <row r="326" spans="1:13" x14ac:dyDescent="0.3">
      <c r="A326" t="s">
        <v>634</v>
      </c>
      <c r="B326" t="s">
        <v>635</v>
      </c>
      <c r="C326" t="s">
        <v>75</v>
      </c>
      <c r="D326" t="s">
        <v>109</v>
      </c>
      <c r="E326" t="s">
        <v>52</v>
      </c>
      <c r="F326" t="s">
        <v>27</v>
      </c>
      <c r="G326" t="s">
        <v>28</v>
      </c>
      <c r="H326" t="s">
        <v>36</v>
      </c>
      <c r="I326">
        <v>5088</v>
      </c>
      <c r="J326">
        <v>4</v>
      </c>
      <c r="K326">
        <v>4.5999999999999996</v>
      </c>
      <c r="L326">
        <v>2</v>
      </c>
      <c r="M326" t="s">
        <v>37</v>
      </c>
    </row>
    <row r="327" spans="1:13" x14ac:dyDescent="0.3">
      <c r="A327" t="s">
        <v>636</v>
      </c>
      <c r="B327" t="s">
        <v>637</v>
      </c>
      <c r="C327" t="s">
        <v>50</v>
      </c>
      <c r="D327" t="s">
        <v>25</v>
      </c>
      <c r="E327" t="s">
        <v>26</v>
      </c>
      <c r="F327" t="s">
        <v>83</v>
      </c>
      <c r="G327" t="s">
        <v>19</v>
      </c>
      <c r="H327" t="s">
        <v>36</v>
      </c>
      <c r="I327">
        <v>31806</v>
      </c>
      <c r="J327">
        <v>6</v>
      </c>
      <c r="K327">
        <v>4.0999999999999996</v>
      </c>
      <c r="L327">
        <v>5</v>
      </c>
      <c r="M327" t="s">
        <v>65</v>
      </c>
    </row>
    <row r="328" spans="1:13" x14ac:dyDescent="0.3">
      <c r="A328" t="s">
        <v>638</v>
      </c>
      <c r="B328" t="s">
        <v>446</v>
      </c>
      <c r="C328" t="s">
        <v>170</v>
      </c>
      <c r="D328" t="s">
        <v>69</v>
      </c>
      <c r="E328" t="s">
        <v>26</v>
      </c>
      <c r="F328" t="s">
        <v>27</v>
      </c>
      <c r="G328" t="s">
        <v>54</v>
      </c>
      <c r="H328" t="s">
        <v>36</v>
      </c>
      <c r="I328">
        <v>8290</v>
      </c>
      <c r="J328">
        <v>1</v>
      </c>
      <c r="K328">
        <v>5</v>
      </c>
      <c r="L328">
        <v>8</v>
      </c>
      <c r="M328" t="s">
        <v>65</v>
      </c>
    </row>
    <row r="329" spans="1:13" x14ac:dyDescent="0.3">
      <c r="A329" t="s">
        <v>639</v>
      </c>
      <c r="B329" t="s">
        <v>640</v>
      </c>
      <c r="C329" t="s">
        <v>103</v>
      </c>
      <c r="D329" t="s">
        <v>51</v>
      </c>
      <c r="E329" t="s">
        <v>52</v>
      </c>
      <c r="F329" t="s">
        <v>60</v>
      </c>
      <c r="G329" t="s">
        <v>104</v>
      </c>
      <c r="H329" t="s">
        <v>29</v>
      </c>
      <c r="I329">
        <v>3462</v>
      </c>
      <c r="J329">
        <v>2</v>
      </c>
      <c r="K329">
        <v>4.2</v>
      </c>
      <c r="L329">
        <v>4</v>
      </c>
      <c r="M329" t="s">
        <v>30</v>
      </c>
    </row>
    <row r="330" spans="1:13" x14ac:dyDescent="0.3">
      <c r="A330" t="s">
        <v>641</v>
      </c>
      <c r="B330" t="s">
        <v>434</v>
      </c>
      <c r="C330" t="s">
        <v>58</v>
      </c>
      <c r="D330" t="s">
        <v>51</v>
      </c>
      <c r="E330" t="s">
        <v>52</v>
      </c>
      <c r="F330" t="s">
        <v>27</v>
      </c>
      <c r="G330" t="s">
        <v>19</v>
      </c>
      <c r="H330" t="s">
        <v>36</v>
      </c>
      <c r="I330">
        <v>7096</v>
      </c>
      <c r="J330">
        <v>4</v>
      </c>
      <c r="K330">
        <v>4</v>
      </c>
      <c r="L330">
        <v>3</v>
      </c>
      <c r="M330" t="s">
        <v>47</v>
      </c>
    </row>
    <row r="331" spans="1:13" x14ac:dyDescent="0.3">
      <c r="A331" t="s">
        <v>642</v>
      </c>
      <c r="B331" t="s">
        <v>429</v>
      </c>
      <c r="C331" t="s">
        <v>133</v>
      </c>
      <c r="D331" t="s">
        <v>34</v>
      </c>
      <c r="E331" t="s">
        <v>35</v>
      </c>
      <c r="F331" t="s">
        <v>60</v>
      </c>
      <c r="G331" t="s">
        <v>19</v>
      </c>
      <c r="H331" t="s">
        <v>29</v>
      </c>
      <c r="I331">
        <v>151312</v>
      </c>
      <c r="J331">
        <v>7</v>
      </c>
      <c r="K331">
        <v>4.7</v>
      </c>
      <c r="L331">
        <v>3</v>
      </c>
      <c r="M331" t="s">
        <v>30</v>
      </c>
    </row>
    <row r="332" spans="1:13" x14ac:dyDescent="0.3">
      <c r="A332" t="s">
        <v>643</v>
      </c>
      <c r="B332" t="s">
        <v>195</v>
      </c>
      <c r="C332" t="s">
        <v>68</v>
      </c>
      <c r="D332" t="s">
        <v>46</v>
      </c>
      <c r="E332" t="s">
        <v>42</v>
      </c>
      <c r="F332" t="s">
        <v>60</v>
      </c>
      <c r="G332" t="s">
        <v>104</v>
      </c>
      <c r="H332" t="s">
        <v>29</v>
      </c>
      <c r="I332">
        <v>1191</v>
      </c>
      <c r="J332">
        <v>1</v>
      </c>
      <c r="K332">
        <v>4.7</v>
      </c>
      <c r="L332">
        <v>8</v>
      </c>
      <c r="M332" t="s">
        <v>21</v>
      </c>
    </row>
    <row r="333" spans="1:13" x14ac:dyDescent="0.3">
      <c r="A333" t="s">
        <v>644</v>
      </c>
      <c r="B333" t="s">
        <v>622</v>
      </c>
      <c r="C333" t="s">
        <v>58</v>
      </c>
      <c r="D333" t="s">
        <v>130</v>
      </c>
      <c r="E333" t="s">
        <v>35</v>
      </c>
      <c r="F333" t="s">
        <v>100</v>
      </c>
      <c r="G333" t="s">
        <v>19</v>
      </c>
      <c r="H333" t="s">
        <v>29</v>
      </c>
      <c r="I333">
        <v>282350</v>
      </c>
      <c r="J333">
        <v>5</v>
      </c>
      <c r="K333">
        <v>4.8</v>
      </c>
      <c r="L333">
        <v>4</v>
      </c>
      <c r="M333" t="s">
        <v>30</v>
      </c>
    </row>
    <row r="334" spans="1:13" x14ac:dyDescent="0.3">
      <c r="A334" t="s">
        <v>645</v>
      </c>
      <c r="B334" t="s">
        <v>646</v>
      </c>
      <c r="C334" t="s">
        <v>24</v>
      </c>
      <c r="D334" t="s">
        <v>130</v>
      </c>
      <c r="E334" t="s">
        <v>35</v>
      </c>
      <c r="F334" t="s">
        <v>27</v>
      </c>
      <c r="G334" t="s">
        <v>104</v>
      </c>
      <c r="H334" t="s">
        <v>64</v>
      </c>
      <c r="I334">
        <v>419576</v>
      </c>
      <c r="J334">
        <v>8</v>
      </c>
      <c r="K334">
        <v>4</v>
      </c>
      <c r="L334">
        <v>3</v>
      </c>
      <c r="M334" t="s">
        <v>119</v>
      </c>
    </row>
    <row r="335" spans="1:13" x14ac:dyDescent="0.3">
      <c r="A335" t="s">
        <v>647</v>
      </c>
      <c r="B335" t="s">
        <v>589</v>
      </c>
      <c r="C335" t="s">
        <v>45</v>
      </c>
      <c r="D335" t="s">
        <v>69</v>
      </c>
      <c r="E335" t="s">
        <v>26</v>
      </c>
      <c r="F335" t="s">
        <v>27</v>
      </c>
      <c r="G335" t="s">
        <v>28</v>
      </c>
      <c r="H335" t="s">
        <v>29</v>
      </c>
      <c r="I335">
        <v>11982</v>
      </c>
      <c r="J335">
        <v>2</v>
      </c>
      <c r="K335">
        <v>4.4000000000000004</v>
      </c>
      <c r="L335">
        <v>5</v>
      </c>
      <c r="M335" t="s">
        <v>87</v>
      </c>
    </row>
    <row r="336" spans="1:13" x14ac:dyDescent="0.3">
      <c r="A336" t="s">
        <v>648</v>
      </c>
      <c r="B336" t="s">
        <v>222</v>
      </c>
      <c r="C336" t="s">
        <v>75</v>
      </c>
      <c r="D336" t="s">
        <v>46</v>
      </c>
      <c r="E336" t="s">
        <v>42</v>
      </c>
      <c r="F336" t="s">
        <v>83</v>
      </c>
      <c r="G336" t="s">
        <v>19</v>
      </c>
      <c r="H336" t="s">
        <v>64</v>
      </c>
      <c r="I336">
        <v>7112</v>
      </c>
      <c r="J336">
        <v>8</v>
      </c>
      <c r="K336">
        <v>4.5</v>
      </c>
      <c r="L336">
        <v>5</v>
      </c>
      <c r="M336" t="s">
        <v>30</v>
      </c>
    </row>
    <row r="337" spans="1:13" x14ac:dyDescent="0.3">
      <c r="A337" t="s">
        <v>649</v>
      </c>
      <c r="B337" t="s">
        <v>242</v>
      </c>
      <c r="C337" t="s">
        <v>68</v>
      </c>
      <c r="D337" t="s">
        <v>16</v>
      </c>
      <c r="E337" t="s">
        <v>17</v>
      </c>
      <c r="F337" t="s">
        <v>53</v>
      </c>
      <c r="G337" t="s">
        <v>19</v>
      </c>
      <c r="H337" t="s">
        <v>36</v>
      </c>
      <c r="I337">
        <v>11384</v>
      </c>
      <c r="J337">
        <v>8</v>
      </c>
      <c r="K337">
        <v>4.5999999999999996</v>
      </c>
      <c r="L337">
        <v>2</v>
      </c>
      <c r="M337" t="s">
        <v>87</v>
      </c>
    </row>
    <row r="338" spans="1:13" x14ac:dyDescent="0.3">
      <c r="A338" t="s">
        <v>650</v>
      </c>
      <c r="B338" t="s">
        <v>615</v>
      </c>
      <c r="C338" t="s">
        <v>15</v>
      </c>
      <c r="D338" t="s">
        <v>46</v>
      </c>
      <c r="E338" t="s">
        <v>42</v>
      </c>
      <c r="F338" t="s">
        <v>18</v>
      </c>
      <c r="G338" t="s">
        <v>104</v>
      </c>
      <c r="H338" t="s">
        <v>29</v>
      </c>
      <c r="I338">
        <v>6940</v>
      </c>
      <c r="J338">
        <v>4</v>
      </c>
      <c r="K338">
        <v>4.0999999999999996</v>
      </c>
      <c r="L338">
        <v>3</v>
      </c>
      <c r="M338" t="s">
        <v>37</v>
      </c>
    </row>
    <row r="339" spans="1:13" x14ac:dyDescent="0.3">
      <c r="A339" t="s">
        <v>651</v>
      </c>
      <c r="B339" t="s">
        <v>652</v>
      </c>
      <c r="C339" t="s">
        <v>58</v>
      </c>
      <c r="D339" t="s">
        <v>90</v>
      </c>
      <c r="E339" t="s">
        <v>42</v>
      </c>
      <c r="F339" t="s">
        <v>60</v>
      </c>
      <c r="G339" t="s">
        <v>104</v>
      </c>
      <c r="H339" t="s">
        <v>29</v>
      </c>
      <c r="I339">
        <v>25585</v>
      </c>
      <c r="J339">
        <v>5</v>
      </c>
      <c r="K339">
        <v>4.3</v>
      </c>
      <c r="L339">
        <v>8</v>
      </c>
      <c r="M339" t="s">
        <v>30</v>
      </c>
    </row>
    <row r="340" spans="1:13" x14ac:dyDescent="0.3">
      <c r="A340" t="s">
        <v>653</v>
      </c>
      <c r="B340" t="s">
        <v>561</v>
      </c>
      <c r="C340" t="s">
        <v>112</v>
      </c>
      <c r="D340" t="s">
        <v>159</v>
      </c>
      <c r="E340" t="s">
        <v>42</v>
      </c>
      <c r="F340" t="s">
        <v>83</v>
      </c>
      <c r="G340" t="s">
        <v>104</v>
      </c>
      <c r="H340" t="s">
        <v>29</v>
      </c>
      <c r="I340">
        <v>22624</v>
      </c>
      <c r="J340">
        <v>8</v>
      </c>
      <c r="K340">
        <v>3.7</v>
      </c>
      <c r="L340">
        <v>1</v>
      </c>
      <c r="M340" t="s">
        <v>87</v>
      </c>
    </row>
    <row r="341" spans="1:13" x14ac:dyDescent="0.3">
      <c r="A341" t="s">
        <v>654</v>
      </c>
      <c r="B341" t="s">
        <v>523</v>
      </c>
      <c r="C341" t="s">
        <v>78</v>
      </c>
      <c r="D341" t="s">
        <v>41</v>
      </c>
      <c r="E341" t="s">
        <v>42</v>
      </c>
      <c r="F341" t="s">
        <v>53</v>
      </c>
      <c r="G341" t="s">
        <v>19</v>
      </c>
      <c r="H341" t="s">
        <v>64</v>
      </c>
      <c r="I341">
        <v>33808</v>
      </c>
      <c r="J341">
        <v>8</v>
      </c>
      <c r="K341">
        <v>4.3</v>
      </c>
      <c r="L341">
        <v>1</v>
      </c>
      <c r="M341" t="s">
        <v>119</v>
      </c>
    </row>
    <row r="342" spans="1:13" x14ac:dyDescent="0.3">
      <c r="A342" t="s">
        <v>655</v>
      </c>
      <c r="B342" t="s">
        <v>656</v>
      </c>
      <c r="C342" t="s">
        <v>112</v>
      </c>
      <c r="D342" t="s">
        <v>69</v>
      </c>
      <c r="E342" t="s">
        <v>26</v>
      </c>
      <c r="F342" t="s">
        <v>100</v>
      </c>
      <c r="G342" t="s">
        <v>104</v>
      </c>
      <c r="H342" t="s">
        <v>29</v>
      </c>
      <c r="I342">
        <v>20432</v>
      </c>
      <c r="J342">
        <v>4</v>
      </c>
      <c r="K342">
        <v>3.3</v>
      </c>
      <c r="L342">
        <v>4</v>
      </c>
      <c r="M342" t="s">
        <v>55</v>
      </c>
    </row>
    <row r="343" spans="1:13" x14ac:dyDescent="0.3">
      <c r="A343" t="s">
        <v>657</v>
      </c>
      <c r="B343" t="s">
        <v>201</v>
      </c>
      <c r="C343" t="s">
        <v>103</v>
      </c>
      <c r="D343" t="s">
        <v>59</v>
      </c>
      <c r="E343" t="s">
        <v>26</v>
      </c>
      <c r="F343" t="s">
        <v>27</v>
      </c>
      <c r="G343" t="s">
        <v>28</v>
      </c>
      <c r="H343" t="s">
        <v>20</v>
      </c>
      <c r="I343">
        <v>10432</v>
      </c>
      <c r="J343">
        <v>4</v>
      </c>
      <c r="K343">
        <v>4.3</v>
      </c>
      <c r="L343">
        <v>8</v>
      </c>
      <c r="M343" t="s">
        <v>55</v>
      </c>
    </row>
    <row r="344" spans="1:13" x14ac:dyDescent="0.3">
      <c r="A344" t="s">
        <v>658</v>
      </c>
      <c r="B344" t="s">
        <v>536</v>
      </c>
      <c r="C344" t="s">
        <v>15</v>
      </c>
      <c r="D344" t="s">
        <v>113</v>
      </c>
      <c r="E344" t="s">
        <v>35</v>
      </c>
      <c r="F344" t="s">
        <v>83</v>
      </c>
      <c r="G344" t="s">
        <v>54</v>
      </c>
      <c r="H344" t="s">
        <v>20</v>
      </c>
      <c r="I344">
        <v>26871</v>
      </c>
      <c r="J344">
        <v>1</v>
      </c>
      <c r="K344">
        <v>3.7</v>
      </c>
      <c r="L344">
        <v>8</v>
      </c>
      <c r="M344" t="s">
        <v>80</v>
      </c>
    </row>
    <row r="345" spans="1:13" x14ac:dyDescent="0.3">
      <c r="A345" t="s">
        <v>659</v>
      </c>
      <c r="B345" t="s">
        <v>660</v>
      </c>
      <c r="C345" t="s">
        <v>170</v>
      </c>
      <c r="D345" t="s">
        <v>116</v>
      </c>
      <c r="E345" t="s">
        <v>17</v>
      </c>
      <c r="F345" t="s">
        <v>18</v>
      </c>
      <c r="G345" t="s">
        <v>19</v>
      </c>
      <c r="H345" t="s">
        <v>36</v>
      </c>
      <c r="I345">
        <v>6960</v>
      </c>
      <c r="J345">
        <v>6</v>
      </c>
      <c r="K345">
        <v>4.5</v>
      </c>
      <c r="L345">
        <v>1</v>
      </c>
      <c r="M345" t="s">
        <v>37</v>
      </c>
    </row>
    <row r="346" spans="1:13" x14ac:dyDescent="0.3">
      <c r="A346" t="s">
        <v>661</v>
      </c>
      <c r="B346" t="s">
        <v>589</v>
      </c>
      <c r="C346" t="s">
        <v>50</v>
      </c>
      <c r="D346" t="s">
        <v>97</v>
      </c>
      <c r="E346" t="s">
        <v>35</v>
      </c>
      <c r="F346" t="s">
        <v>60</v>
      </c>
      <c r="G346" t="s">
        <v>19</v>
      </c>
      <c r="H346" t="s">
        <v>36</v>
      </c>
      <c r="I346">
        <v>282224</v>
      </c>
      <c r="J346">
        <v>8</v>
      </c>
      <c r="K346">
        <v>3.4</v>
      </c>
      <c r="L346">
        <v>4</v>
      </c>
      <c r="M346" t="s">
        <v>87</v>
      </c>
    </row>
    <row r="347" spans="1:13" x14ac:dyDescent="0.3">
      <c r="A347" t="s">
        <v>662</v>
      </c>
      <c r="B347" t="s">
        <v>663</v>
      </c>
      <c r="C347" t="s">
        <v>78</v>
      </c>
      <c r="D347" t="s">
        <v>51</v>
      </c>
      <c r="E347" t="s">
        <v>52</v>
      </c>
      <c r="F347" t="s">
        <v>100</v>
      </c>
      <c r="G347" t="s">
        <v>54</v>
      </c>
      <c r="H347" t="s">
        <v>29</v>
      </c>
      <c r="I347">
        <v>7372</v>
      </c>
      <c r="J347">
        <v>4</v>
      </c>
      <c r="K347">
        <v>4.3</v>
      </c>
      <c r="L347">
        <v>1</v>
      </c>
      <c r="M347" t="s">
        <v>87</v>
      </c>
    </row>
    <row r="348" spans="1:13" x14ac:dyDescent="0.3">
      <c r="A348" t="s">
        <v>664</v>
      </c>
      <c r="B348" t="s">
        <v>597</v>
      </c>
      <c r="C348" t="s">
        <v>24</v>
      </c>
      <c r="D348" t="s">
        <v>46</v>
      </c>
      <c r="E348" t="s">
        <v>42</v>
      </c>
      <c r="F348" t="s">
        <v>53</v>
      </c>
      <c r="G348" t="s">
        <v>54</v>
      </c>
      <c r="H348" t="s">
        <v>64</v>
      </c>
      <c r="I348">
        <v>15798</v>
      </c>
      <c r="J348">
        <v>6</v>
      </c>
      <c r="K348">
        <v>4</v>
      </c>
      <c r="L348">
        <v>1</v>
      </c>
      <c r="M348" t="s">
        <v>37</v>
      </c>
    </row>
    <row r="349" spans="1:13" x14ac:dyDescent="0.3">
      <c r="A349" t="s">
        <v>665</v>
      </c>
      <c r="B349" t="s">
        <v>666</v>
      </c>
      <c r="C349" t="s">
        <v>45</v>
      </c>
      <c r="D349" t="s">
        <v>147</v>
      </c>
      <c r="E349" t="s">
        <v>52</v>
      </c>
      <c r="F349" t="s">
        <v>53</v>
      </c>
      <c r="G349" t="s">
        <v>54</v>
      </c>
      <c r="H349" t="s">
        <v>36</v>
      </c>
      <c r="I349">
        <v>7072</v>
      </c>
      <c r="J349">
        <v>8</v>
      </c>
      <c r="K349">
        <v>3.5</v>
      </c>
      <c r="L349">
        <v>2</v>
      </c>
      <c r="M349" t="s">
        <v>144</v>
      </c>
    </row>
    <row r="350" spans="1:13" x14ac:dyDescent="0.3">
      <c r="A350" t="s">
        <v>667</v>
      </c>
      <c r="B350" t="s">
        <v>668</v>
      </c>
      <c r="C350" t="s">
        <v>146</v>
      </c>
      <c r="D350" t="s">
        <v>34</v>
      </c>
      <c r="E350" t="s">
        <v>35</v>
      </c>
      <c r="F350" t="s">
        <v>27</v>
      </c>
      <c r="G350" t="s">
        <v>19</v>
      </c>
      <c r="H350" t="s">
        <v>36</v>
      </c>
      <c r="I350">
        <v>65994</v>
      </c>
      <c r="J350">
        <v>2</v>
      </c>
      <c r="K350">
        <v>4.5999999999999996</v>
      </c>
      <c r="L350">
        <v>6</v>
      </c>
      <c r="M350" t="s">
        <v>119</v>
      </c>
    </row>
    <row r="351" spans="1:13" x14ac:dyDescent="0.3">
      <c r="A351" t="s">
        <v>669</v>
      </c>
      <c r="B351" t="s">
        <v>670</v>
      </c>
      <c r="C351" t="s">
        <v>179</v>
      </c>
      <c r="D351" t="s">
        <v>46</v>
      </c>
      <c r="E351" t="s">
        <v>42</v>
      </c>
      <c r="F351" t="s">
        <v>100</v>
      </c>
      <c r="G351" t="s">
        <v>19</v>
      </c>
      <c r="H351" t="s">
        <v>29</v>
      </c>
      <c r="I351">
        <v>26395</v>
      </c>
      <c r="J351">
        <v>5</v>
      </c>
      <c r="K351">
        <v>4.2</v>
      </c>
      <c r="L351">
        <v>8</v>
      </c>
      <c r="M351" t="s">
        <v>80</v>
      </c>
    </row>
    <row r="352" spans="1:13" x14ac:dyDescent="0.3">
      <c r="A352" t="s">
        <v>671</v>
      </c>
      <c r="B352" t="s">
        <v>14</v>
      </c>
      <c r="C352" t="s">
        <v>146</v>
      </c>
      <c r="D352" t="s">
        <v>97</v>
      </c>
      <c r="E352" t="s">
        <v>35</v>
      </c>
      <c r="F352" t="s">
        <v>18</v>
      </c>
      <c r="G352" t="s">
        <v>28</v>
      </c>
      <c r="H352" t="s">
        <v>20</v>
      </c>
      <c r="I352">
        <v>68457</v>
      </c>
      <c r="J352">
        <v>3</v>
      </c>
      <c r="K352">
        <v>4.7</v>
      </c>
      <c r="L352">
        <v>6</v>
      </c>
      <c r="M352" t="s">
        <v>21</v>
      </c>
    </row>
    <row r="353" spans="1:13" x14ac:dyDescent="0.3">
      <c r="A353" t="s">
        <v>672</v>
      </c>
      <c r="B353" t="s">
        <v>673</v>
      </c>
      <c r="C353" t="s">
        <v>78</v>
      </c>
      <c r="D353" t="s">
        <v>218</v>
      </c>
      <c r="E353" t="s">
        <v>17</v>
      </c>
      <c r="F353" t="s">
        <v>83</v>
      </c>
      <c r="G353" t="s">
        <v>104</v>
      </c>
      <c r="H353" t="s">
        <v>29</v>
      </c>
      <c r="I353">
        <v>3824</v>
      </c>
      <c r="J353">
        <v>4</v>
      </c>
      <c r="K353">
        <v>4.0999999999999996</v>
      </c>
      <c r="L353">
        <v>8</v>
      </c>
      <c r="M353" t="s">
        <v>192</v>
      </c>
    </row>
    <row r="354" spans="1:13" x14ac:dyDescent="0.3">
      <c r="A354" t="s">
        <v>674</v>
      </c>
      <c r="B354" t="s">
        <v>675</v>
      </c>
      <c r="C354" t="s">
        <v>68</v>
      </c>
      <c r="D354" t="s">
        <v>46</v>
      </c>
      <c r="E354" t="s">
        <v>42</v>
      </c>
      <c r="F354" t="s">
        <v>60</v>
      </c>
      <c r="G354" t="s">
        <v>19</v>
      </c>
      <c r="H354" t="s">
        <v>36</v>
      </c>
      <c r="I354">
        <v>3526</v>
      </c>
      <c r="J354">
        <v>2</v>
      </c>
      <c r="K354">
        <v>4.8</v>
      </c>
      <c r="L354">
        <v>4</v>
      </c>
      <c r="M354" t="s">
        <v>87</v>
      </c>
    </row>
    <row r="355" spans="1:13" x14ac:dyDescent="0.3">
      <c r="A355" t="s">
        <v>676</v>
      </c>
      <c r="B355" t="s">
        <v>275</v>
      </c>
      <c r="C355" t="s">
        <v>15</v>
      </c>
      <c r="D355" t="s">
        <v>116</v>
      </c>
      <c r="E355" t="s">
        <v>17</v>
      </c>
      <c r="F355" t="s">
        <v>83</v>
      </c>
      <c r="G355" t="s">
        <v>28</v>
      </c>
      <c r="H355" t="s">
        <v>36</v>
      </c>
      <c r="I355">
        <v>11008</v>
      </c>
      <c r="J355">
        <v>8</v>
      </c>
      <c r="K355">
        <v>4.3</v>
      </c>
      <c r="L355">
        <v>2</v>
      </c>
      <c r="M355" t="s">
        <v>119</v>
      </c>
    </row>
    <row r="356" spans="1:13" x14ac:dyDescent="0.3">
      <c r="A356" t="s">
        <v>677</v>
      </c>
      <c r="B356" t="s">
        <v>379</v>
      </c>
      <c r="C356" t="s">
        <v>40</v>
      </c>
      <c r="D356" t="s">
        <v>41</v>
      </c>
      <c r="E356" t="s">
        <v>42</v>
      </c>
      <c r="F356" t="s">
        <v>18</v>
      </c>
      <c r="G356" t="s">
        <v>19</v>
      </c>
      <c r="H356" t="s">
        <v>36</v>
      </c>
      <c r="I356">
        <v>20139</v>
      </c>
      <c r="J356">
        <v>7</v>
      </c>
      <c r="K356">
        <v>3.3</v>
      </c>
      <c r="L356">
        <v>2</v>
      </c>
      <c r="M356" t="s">
        <v>55</v>
      </c>
    </row>
    <row r="357" spans="1:13" x14ac:dyDescent="0.3">
      <c r="A357" t="s">
        <v>678</v>
      </c>
      <c r="B357" t="s">
        <v>387</v>
      </c>
      <c r="C357" t="s">
        <v>78</v>
      </c>
      <c r="D357" t="s">
        <v>86</v>
      </c>
      <c r="E357" t="s">
        <v>17</v>
      </c>
      <c r="F357" t="s">
        <v>27</v>
      </c>
      <c r="G357" t="s">
        <v>28</v>
      </c>
      <c r="H357" t="s">
        <v>36</v>
      </c>
      <c r="I357">
        <v>4816</v>
      </c>
      <c r="J357">
        <v>7</v>
      </c>
      <c r="K357">
        <v>4.3</v>
      </c>
      <c r="L357">
        <v>3</v>
      </c>
      <c r="M357" t="s">
        <v>65</v>
      </c>
    </row>
    <row r="358" spans="1:13" x14ac:dyDescent="0.3">
      <c r="A358" t="s">
        <v>679</v>
      </c>
      <c r="B358" t="s">
        <v>141</v>
      </c>
      <c r="C358" t="s">
        <v>24</v>
      </c>
      <c r="D358" t="s">
        <v>59</v>
      </c>
      <c r="E358" t="s">
        <v>26</v>
      </c>
      <c r="F358" t="s">
        <v>100</v>
      </c>
      <c r="G358" t="s">
        <v>28</v>
      </c>
      <c r="H358" t="s">
        <v>29</v>
      </c>
      <c r="I358">
        <v>30040</v>
      </c>
      <c r="J358">
        <v>8</v>
      </c>
      <c r="K358">
        <v>4.2</v>
      </c>
      <c r="L358">
        <v>6</v>
      </c>
      <c r="M358" t="s">
        <v>119</v>
      </c>
    </row>
    <row r="359" spans="1:13" x14ac:dyDescent="0.3">
      <c r="A359" t="s">
        <v>680</v>
      </c>
      <c r="B359" t="s">
        <v>681</v>
      </c>
      <c r="C359" t="s">
        <v>50</v>
      </c>
      <c r="D359" t="s">
        <v>165</v>
      </c>
      <c r="E359" t="s">
        <v>35</v>
      </c>
      <c r="F359" t="s">
        <v>100</v>
      </c>
      <c r="G359" t="s">
        <v>104</v>
      </c>
      <c r="H359" t="s">
        <v>29</v>
      </c>
      <c r="I359">
        <v>269370</v>
      </c>
      <c r="J359">
        <v>6</v>
      </c>
      <c r="K359">
        <v>4.2</v>
      </c>
      <c r="L359">
        <v>4</v>
      </c>
      <c r="M359" t="s">
        <v>126</v>
      </c>
    </row>
    <row r="360" spans="1:13" x14ac:dyDescent="0.3">
      <c r="A360" t="s">
        <v>682</v>
      </c>
      <c r="B360" t="s">
        <v>300</v>
      </c>
      <c r="C360" t="s">
        <v>15</v>
      </c>
      <c r="D360" t="s">
        <v>90</v>
      </c>
      <c r="E360" t="s">
        <v>42</v>
      </c>
      <c r="F360" t="s">
        <v>53</v>
      </c>
      <c r="G360" t="s">
        <v>19</v>
      </c>
      <c r="H360" t="s">
        <v>20</v>
      </c>
      <c r="I360">
        <v>5580</v>
      </c>
      <c r="J360">
        <v>1</v>
      </c>
      <c r="K360">
        <v>4.0999999999999996</v>
      </c>
      <c r="L360">
        <v>5</v>
      </c>
      <c r="M360" t="s">
        <v>55</v>
      </c>
    </row>
    <row r="361" spans="1:13" x14ac:dyDescent="0.3">
      <c r="A361" t="s">
        <v>683</v>
      </c>
      <c r="B361" t="s">
        <v>118</v>
      </c>
      <c r="C361" t="s">
        <v>146</v>
      </c>
      <c r="D361" t="s">
        <v>113</v>
      </c>
      <c r="E361" t="s">
        <v>35</v>
      </c>
      <c r="F361" t="s">
        <v>53</v>
      </c>
      <c r="G361" t="s">
        <v>19</v>
      </c>
      <c r="H361" t="s">
        <v>20</v>
      </c>
      <c r="I361">
        <v>377090</v>
      </c>
      <c r="J361">
        <v>5</v>
      </c>
      <c r="K361">
        <v>3.5</v>
      </c>
      <c r="L361">
        <v>1</v>
      </c>
      <c r="M361" t="s">
        <v>119</v>
      </c>
    </row>
    <row r="362" spans="1:13" x14ac:dyDescent="0.3">
      <c r="A362" t="s">
        <v>684</v>
      </c>
      <c r="B362" t="s">
        <v>413</v>
      </c>
      <c r="C362" t="s">
        <v>75</v>
      </c>
      <c r="D362" t="s">
        <v>130</v>
      </c>
      <c r="E362" t="s">
        <v>35</v>
      </c>
      <c r="F362" t="s">
        <v>27</v>
      </c>
      <c r="G362" t="s">
        <v>104</v>
      </c>
      <c r="H362" t="s">
        <v>64</v>
      </c>
      <c r="I362">
        <v>167444</v>
      </c>
      <c r="J362">
        <v>4</v>
      </c>
      <c r="K362">
        <v>3.9</v>
      </c>
      <c r="L362">
        <v>4</v>
      </c>
      <c r="M362" t="s">
        <v>30</v>
      </c>
    </row>
    <row r="363" spans="1:13" x14ac:dyDescent="0.3">
      <c r="A363" t="s">
        <v>685</v>
      </c>
      <c r="B363" t="s">
        <v>118</v>
      </c>
      <c r="C363" t="s">
        <v>170</v>
      </c>
      <c r="D363" t="s">
        <v>51</v>
      </c>
      <c r="E363" t="s">
        <v>52</v>
      </c>
      <c r="F363" t="s">
        <v>53</v>
      </c>
      <c r="G363" t="s">
        <v>28</v>
      </c>
      <c r="H363" t="s">
        <v>64</v>
      </c>
      <c r="I363">
        <v>2960</v>
      </c>
      <c r="J363">
        <v>2</v>
      </c>
      <c r="K363">
        <v>3.3</v>
      </c>
      <c r="L363">
        <v>1</v>
      </c>
      <c r="M363" t="s">
        <v>119</v>
      </c>
    </row>
    <row r="364" spans="1:13" x14ac:dyDescent="0.3">
      <c r="A364" t="s">
        <v>686</v>
      </c>
      <c r="B364" t="s">
        <v>687</v>
      </c>
      <c r="C364" t="s">
        <v>170</v>
      </c>
      <c r="D364" t="s">
        <v>86</v>
      </c>
      <c r="E364" t="s">
        <v>17</v>
      </c>
      <c r="F364" t="s">
        <v>100</v>
      </c>
      <c r="G364" t="s">
        <v>19</v>
      </c>
      <c r="H364" t="s">
        <v>20</v>
      </c>
      <c r="I364">
        <v>1598</v>
      </c>
      <c r="J364">
        <v>1</v>
      </c>
      <c r="K364">
        <v>3.3</v>
      </c>
      <c r="L364">
        <v>3</v>
      </c>
      <c r="M364" t="s">
        <v>119</v>
      </c>
    </row>
    <row r="365" spans="1:13" x14ac:dyDescent="0.3">
      <c r="A365" t="s">
        <v>688</v>
      </c>
      <c r="B365" t="s">
        <v>306</v>
      </c>
      <c r="C365" t="s">
        <v>125</v>
      </c>
      <c r="D365" t="s">
        <v>116</v>
      </c>
      <c r="E365" t="s">
        <v>17</v>
      </c>
      <c r="F365" t="s">
        <v>100</v>
      </c>
      <c r="G365" t="s">
        <v>54</v>
      </c>
      <c r="H365" t="s">
        <v>64</v>
      </c>
      <c r="I365">
        <v>1508</v>
      </c>
      <c r="J365">
        <v>2</v>
      </c>
      <c r="K365">
        <v>3.4</v>
      </c>
      <c r="L365">
        <v>2</v>
      </c>
      <c r="M365" t="s">
        <v>47</v>
      </c>
    </row>
    <row r="366" spans="1:13" x14ac:dyDescent="0.3">
      <c r="A366" t="s">
        <v>689</v>
      </c>
      <c r="B366" t="s">
        <v>690</v>
      </c>
      <c r="C366" t="s">
        <v>58</v>
      </c>
      <c r="D366" t="s">
        <v>113</v>
      </c>
      <c r="E366" t="s">
        <v>35</v>
      </c>
      <c r="F366" t="s">
        <v>83</v>
      </c>
      <c r="G366" t="s">
        <v>19</v>
      </c>
      <c r="H366" t="s">
        <v>20</v>
      </c>
      <c r="I366">
        <v>141239</v>
      </c>
      <c r="J366">
        <v>7</v>
      </c>
      <c r="K366">
        <v>3.6</v>
      </c>
      <c r="L366">
        <v>7</v>
      </c>
      <c r="M366" t="s">
        <v>55</v>
      </c>
    </row>
    <row r="367" spans="1:13" x14ac:dyDescent="0.3">
      <c r="A367" t="s">
        <v>691</v>
      </c>
      <c r="B367" t="s">
        <v>692</v>
      </c>
      <c r="C367" t="s">
        <v>170</v>
      </c>
      <c r="D367" t="s">
        <v>218</v>
      </c>
      <c r="E367" t="s">
        <v>17</v>
      </c>
      <c r="F367" t="s">
        <v>53</v>
      </c>
      <c r="G367" t="s">
        <v>54</v>
      </c>
      <c r="H367" t="s">
        <v>29</v>
      </c>
      <c r="I367">
        <v>10212</v>
      </c>
      <c r="J367">
        <v>6</v>
      </c>
      <c r="K367">
        <v>3.9</v>
      </c>
      <c r="L367">
        <v>4</v>
      </c>
      <c r="M367" t="s">
        <v>47</v>
      </c>
    </row>
    <row r="368" spans="1:13" x14ac:dyDescent="0.3">
      <c r="A368" t="s">
        <v>693</v>
      </c>
      <c r="B368" t="s">
        <v>595</v>
      </c>
      <c r="C368" t="s">
        <v>72</v>
      </c>
      <c r="D368" t="s">
        <v>109</v>
      </c>
      <c r="E368" t="s">
        <v>52</v>
      </c>
      <c r="F368" t="s">
        <v>27</v>
      </c>
      <c r="G368" t="s">
        <v>54</v>
      </c>
      <c r="H368" t="s">
        <v>36</v>
      </c>
      <c r="I368">
        <v>6776</v>
      </c>
      <c r="J368">
        <v>8</v>
      </c>
      <c r="K368">
        <v>3.6</v>
      </c>
      <c r="L368">
        <v>6</v>
      </c>
      <c r="M368" t="s">
        <v>192</v>
      </c>
    </row>
    <row r="369" spans="1:13" x14ac:dyDescent="0.3">
      <c r="A369" t="s">
        <v>694</v>
      </c>
      <c r="B369" t="s">
        <v>673</v>
      </c>
      <c r="C369" t="s">
        <v>170</v>
      </c>
      <c r="D369" t="s">
        <v>86</v>
      </c>
      <c r="E369" t="s">
        <v>17</v>
      </c>
      <c r="F369" t="s">
        <v>83</v>
      </c>
      <c r="G369" t="s">
        <v>19</v>
      </c>
      <c r="H369" t="s">
        <v>20</v>
      </c>
      <c r="I369">
        <v>2667</v>
      </c>
      <c r="J369">
        <v>3</v>
      </c>
      <c r="K369">
        <v>4</v>
      </c>
      <c r="L369">
        <v>1</v>
      </c>
      <c r="M369" t="s">
        <v>192</v>
      </c>
    </row>
    <row r="370" spans="1:13" x14ac:dyDescent="0.3">
      <c r="A370" t="s">
        <v>695</v>
      </c>
      <c r="B370" t="s">
        <v>149</v>
      </c>
      <c r="C370" t="s">
        <v>103</v>
      </c>
      <c r="D370" t="s">
        <v>59</v>
      </c>
      <c r="E370" t="s">
        <v>26</v>
      </c>
      <c r="F370" t="s">
        <v>83</v>
      </c>
      <c r="G370" t="s">
        <v>54</v>
      </c>
      <c r="H370" t="s">
        <v>29</v>
      </c>
      <c r="I370">
        <v>82808</v>
      </c>
      <c r="J370">
        <v>8</v>
      </c>
      <c r="K370">
        <v>4.8</v>
      </c>
      <c r="L370">
        <v>1</v>
      </c>
      <c r="M370" t="s">
        <v>30</v>
      </c>
    </row>
    <row r="371" spans="1:13" x14ac:dyDescent="0.3">
      <c r="A371" t="s">
        <v>696</v>
      </c>
      <c r="B371" t="s">
        <v>697</v>
      </c>
      <c r="C371" t="s">
        <v>68</v>
      </c>
      <c r="D371" t="s">
        <v>109</v>
      </c>
      <c r="E371" t="s">
        <v>52</v>
      </c>
      <c r="F371" t="s">
        <v>18</v>
      </c>
      <c r="G371" t="s">
        <v>104</v>
      </c>
      <c r="H371" t="s">
        <v>64</v>
      </c>
      <c r="I371">
        <v>2272</v>
      </c>
      <c r="J371">
        <v>8</v>
      </c>
      <c r="K371">
        <v>3.7</v>
      </c>
      <c r="L371">
        <v>6</v>
      </c>
      <c r="M371" t="s">
        <v>144</v>
      </c>
    </row>
    <row r="372" spans="1:13" x14ac:dyDescent="0.3">
      <c r="A372" t="s">
        <v>698</v>
      </c>
      <c r="B372" t="s">
        <v>62</v>
      </c>
      <c r="C372" t="s">
        <v>78</v>
      </c>
      <c r="D372" t="s">
        <v>51</v>
      </c>
      <c r="E372" t="s">
        <v>52</v>
      </c>
      <c r="F372" t="s">
        <v>27</v>
      </c>
      <c r="G372" t="s">
        <v>54</v>
      </c>
      <c r="H372" t="s">
        <v>36</v>
      </c>
      <c r="I372">
        <v>4470</v>
      </c>
      <c r="J372">
        <v>2</v>
      </c>
      <c r="K372">
        <v>3.5</v>
      </c>
      <c r="L372">
        <v>8</v>
      </c>
      <c r="M372" t="s">
        <v>65</v>
      </c>
    </row>
    <row r="373" spans="1:13" x14ac:dyDescent="0.3">
      <c r="A373" t="s">
        <v>699</v>
      </c>
      <c r="B373" t="s">
        <v>124</v>
      </c>
      <c r="C373" t="s">
        <v>122</v>
      </c>
      <c r="D373" t="s">
        <v>109</v>
      </c>
      <c r="E373" t="s">
        <v>52</v>
      </c>
      <c r="F373" t="s">
        <v>100</v>
      </c>
      <c r="G373" t="s">
        <v>104</v>
      </c>
      <c r="H373" t="s">
        <v>36</v>
      </c>
      <c r="I373">
        <v>7144</v>
      </c>
      <c r="J373">
        <v>8</v>
      </c>
      <c r="K373">
        <v>3.8</v>
      </c>
      <c r="L373">
        <v>5</v>
      </c>
      <c r="M373" t="s">
        <v>126</v>
      </c>
    </row>
    <row r="374" spans="1:13" x14ac:dyDescent="0.3">
      <c r="A374" t="s">
        <v>700</v>
      </c>
      <c r="B374" t="s">
        <v>308</v>
      </c>
      <c r="C374" t="s">
        <v>112</v>
      </c>
      <c r="D374" t="s">
        <v>97</v>
      </c>
      <c r="E374" t="s">
        <v>35</v>
      </c>
      <c r="F374" t="s">
        <v>27</v>
      </c>
      <c r="G374" t="s">
        <v>19</v>
      </c>
      <c r="H374" t="s">
        <v>64</v>
      </c>
      <c r="I374">
        <v>236490</v>
      </c>
      <c r="J374">
        <v>5</v>
      </c>
      <c r="K374">
        <v>3.4</v>
      </c>
      <c r="L374">
        <v>7</v>
      </c>
      <c r="M374" t="s">
        <v>144</v>
      </c>
    </row>
    <row r="375" spans="1:13" x14ac:dyDescent="0.3">
      <c r="A375" t="s">
        <v>701</v>
      </c>
      <c r="B375" t="s">
        <v>702</v>
      </c>
      <c r="C375" t="s">
        <v>58</v>
      </c>
      <c r="D375" t="s">
        <v>63</v>
      </c>
      <c r="E375" t="s">
        <v>52</v>
      </c>
      <c r="F375" t="s">
        <v>100</v>
      </c>
      <c r="G375" t="s">
        <v>19</v>
      </c>
      <c r="H375" t="s">
        <v>20</v>
      </c>
      <c r="I375">
        <v>7990</v>
      </c>
      <c r="J375">
        <v>5</v>
      </c>
      <c r="K375">
        <v>3.6</v>
      </c>
      <c r="L375">
        <v>3</v>
      </c>
      <c r="M375" t="s">
        <v>47</v>
      </c>
    </row>
    <row r="376" spans="1:13" x14ac:dyDescent="0.3">
      <c r="A376" t="s">
        <v>703</v>
      </c>
      <c r="B376" t="s">
        <v>363</v>
      </c>
      <c r="C376" t="s">
        <v>24</v>
      </c>
      <c r="D376" t="s">
        <v>165</v>
      </c>
      <c r="E376" t="s">
        <v>35</v>
      </c>
      <c r="F376" t="s">
        <v>53</v>
      </c>
      <c r="G376" t="s">
        <v>19</v>
      </c>
      <c r="H376" t="s">
        <v>36</v>
      </c>
      <c r="I376">
        <v>308798</v>
      </c>
      <c r="J376">
        <v>7</v>
      </c>
      <c r="K376">
        <v>4.2</v>
      </c>
      <c r="L376">
        <v>2</v>
      </c>
      <c r="M376" t="s">
        <v>80</v>
      </c>
    </row>
    <row r="377" spans="1:13" x14ac:dyDescent="0.3">
      <c r="A377" t="s">
        <v>704</v>
      </c>
      <c r="B377" t="s">
        <v>705</v>
      </c>
      <c r="C377" t="s">
        <v>45</v>
      </c>
      <c r="D377" t="s">
        <v>97</v>
      </c>
      <c r="E377" t="s">
        <v>35</v>
      </c>
      <c r="F377" t="s">
        <v>100</v>
      </c>
      <c r="G377" t="s">
        <v>104</v>
      </c>
      <c r="H377" t="s">
        <v>20</v>
      </c>
      <c r="I377">
        <v>112085</v>
      </c>
      <c r="J377">
        <v>5</v>
      </c>
      <c r="K377">
        <v>3.4</v>
      </c>
      <c r="L377">
        <v>1</v>
      </c>
      <c r="M377" t="s">
        <v>55</v>
      </c>
    </row>
    <row r="378" spans="1:13" x14ac:dyDescent="0.3">
      <c r="A378" t="s">
        <v>706</v>
      </c>
      <c r="B378" t="s">
        <v>178</v>
      </c>
      <c r="C378" t="s">
        <v>129</v>
      </c>
      <c r="D378" t="s">
        <v>79</v>
      </c>
      <c r="E378" t="s">
        <v>26</v>
      </c>
      <c r="F378" t="s">
        <v>83</v>
      </c>
      <c r="G378" t="s">
        <v>28</v>
      </c>
      <c r="H378" t="s">
        <v>64</v>
      </c>
      <c r="I378">
        <v>9030</v>
      </c>
      <c r="J378">
        <v>1</v>
      </c>
      <c r="K378">
        <v>4.7</v>
      </c>
      <c r="L378">
        <v>8</v>
      </c>
      <c r="M378" t="s">
        <v>37</v>
      </c>
    </row>
    <row r="379" spans="1:13" x14ac:dyDescent="0.3">
      <c r="A379" t="s">
        <v>707</v>
      </c>
      <c r="B379" t="s">
        <v>708</v>
      </c>
      <c r="C379" t="s">
        <v>179</v>
      </c>
      <c r="D379" t="s">
        <v>159</v>
      </c>
      <c r="E379" t="s">
        <v>42</v>
      </c>
      <c r="F379" t="s">
        <v>83</v>
      </c>
      <c r="G379" t="s">
        <v>54</v>
      </c>
      <c r="H379" t="s">
        <v>20</v>
      </c>
      <c r="I379">
        <v>3288</v>
      </c>
      <c r="J379">
        <v>4</v>
      </c>
      <c r="K379">
        <v>4.9000000000000004</v>
      </c>
      <c r="L379">
        <v>4</v>
      </c>
      <c r="M379" t="s">
        <v>80</v>
      </c>
    </row>
    <row r="380" spans="1:13" x14ac:dyDescent="0.3">
      <c r="A380" t="s">
        <v>709</v>
      </c>
      <c r="B380" t="s">
        <v>523</v>
      </c>
      <c r="C380" t="s">
        <v>170</v>
      </c>
      <c r="D380" t="s">
        <v>90</v>
      </c>
      <c r="E380" t="s">
        <v>42</v>
      </c>
      <c r="F380" t="s">
        <v>60</v>
      </c>
      <c r="G380" t="s">
        <v>54</v>
      </c>
      <c r="H380" t="s">
        <v>36</v>
      </c>
      <c r="I380">
        <v>24096</v>
      </c>
      <c r="J380">
        <v>6</v>
      </c>
      <c r="K380">
        <v>4.3</v>
      </c>
      <c r="L380">
        <v>7</v>
      </c>
      <c r="M380" t="s">
        <v>119</v>
      </c>
    </row>
    <row r="381" spans="1:13" x14ac:dyDescent="0.3">
      <c r="A381" t="s">
        <v>710</v>
      </c>
      <c r="B381" t="s">
        <v>666</v>
      </c>
      <c r="C381" t="s">
        <v>179</v>
      </c>
      <c r="D381" t="s">
        <v>90</v>
      </c>
      <c r="E381" t="s">
        <v>42</v>
      </c>
      <c r="F381" t="s">
        <v>53</v>
      </c>
      <c r="G381" t="s">
        <v>28</v>
      </c>
      <c r="H381" t="s">
        <v>64</v>
      </c>
      <c r="I381">
        <v>4084</v>
      </c>
      <c r="J381">
        <v>4</v>
      </c>
      <c r="K381">
        <v>3.9</v>
      </c>
      <c r="L381">
        <v>1</v>
      </c>
      <c r="M381" t="s">
        <v>144</v>
      </c>
    </row>
    <row r="382" spans="1:13" x14ac:dyDescent="0.3">
      <c r="A382" t="s">
        <v>711</v>
      </c>
      <c r="B382" t="s">
        <v>158</v>
      </c>
      <c r="C382" t="s">
        <v>146</v>
      </c>
      <c r="D382" t="s">
        <v>130</v>
      </c>
      <c r="E382" t="s">
        <v>35</v>
      </c>
      <c r="F382" t="s">
        <v>18</v>
      </c>
      <c r="G382" t="s">
        <v>54</v>
      </c>
      <c r="H382" t="s">
        <v>20</v>
      </c>
      <c r="I382">
        <v>248592</v>
      </c>
      <c r="J382">
        <v>3</v>
      </c>
      <c r="K382">
        <v>4.8</v>
      </c>
      <c r="L382">
        <v>8</v>
      </c>
      <c r="M382" t="s">
        <v>47</v>
      </c>
    </row>
    <row r="383" spans="1:13" x14ac:dyDescent="0.3">
      <c r="A383" t="s">
        <v>712</v>
      </c>
      <c r="B383" t="s">
        <v>713</v>
      </c>
      <c r="C383" t="s">
        <v>146</v>
      </c>
      <c r="D383" t="s">
        <v>79</v>
      </c>
      <c r="E383" t="s">
        <v>26</v>
      </c>
      <c r="F383" t="s">
        <v>18</v>
      </c>
      <c r="G383" t="s">
        <v>104</v>
      </c>
      <c r="H383" t="s">
        <v>29</v>
      </c>
      <c r="I383">
        <v>57631</v>
      </c>
      <c r="J383">
        <v>7</v>
      </c>
      <c r="K383">
        <v>4.3</v>
      </c>
      <c r="L383">
        <v>4</v>
      </c>
      <c r="M383" t="s">
        <v>55</v>
      </c>
    </row>
    <row r="384" spans="1:13" x14ac:dyDescent="0.3">
      <c r="A384" t="s">
        <v>714</v>
      </c>
      <c r="B384" t="s">
        <v>359</v>
      </c>
      <c r="C384" t="s">
        <v>50</v>
      </c>
      <c r="D384" t="s">
        <v>147</v>
      </c>
      <c r="E384" t="s">
        <v>52</v>
      </c>
      <c r="F384" t="s">
        <v>100</v>
      </c>
      <c r="G384" t="s">
        <v>28</v>
      </c>
      <c r="H384" t="s">
        <v>36</v>
      </c>
      <c r="I384">
        <v>4180</v>
      </c>
      <c r="J384">
        <v>2</v>
      </c>
      <c r="K384">
        <v>4.5</v>
      </c>
      <c r="L384">
        <v>3</v>
      </c>
      <c r="M384" t="s">
        <v>87</v>
      </c>
    </row>
    <row r="385" spans="1:13" x14ac:dyDescent="0.3">
      <c r="A385" t="s">
        <v>715</v>
      </c>
      <c r="B385" t="s">
        <v>716</v>
      </c>
      <c r="C385" t="s">
        <v>40</v>
      </c>
      <c r="D385" t="s">
        <v>109</v>
      </c>
      <c r="E385" t="s">
        <v>52</v>
      </c>
      <c r="F385" t="s">
        <v>27</v>
      </c>
      <c r="G385" t="s">
        <v>19</v>
      </c>
      <c r="H385" t="s">
        <v>36</v>
      </c>
      <c r="I385">
        <v>2526</v>
      </c>
      <c r="J385">
        <v>3</v>
      </c>
      <c r="K385">
        <v>3.8</v>
      </c>
      <c r="L385">
        <v>8</v>
      </c>
      <c r="M385" t="s">
        <v>30</v>
      </c>
    </row>
    <row r="386" spans="1:13" x14ac:dyDescent="0.3">
      <c r="A386" t="s">
        <v>717</v>
      </c>
      <c r="B386" t="s">
        <v>361</v>
      </c>
      <c r="C386" t="s">
        <v>122</v>
      </c>
      <c r="D386" t="s">
        <v>63</v>
      </c>
      <c r="E386" t="s">
        <v>52</v>
      </c>
      <c r="F386" t="s">
        <v>83</v>
      </c>
      <c r="G386" t="s">
        <v>28</v>
      </c>
      <c r="H386" t="s">
        <v>64</v>
      </c>
      <c r="I386">
        <v>10640</v>
      </c>
      <c r="J386">
        <v>5</v>
      </c>
      <c r="K386">
        <v>4.7</v>
      </c>
      <c r="L386">
        <v>8</v>
      </c>
      <c r="M386" t="s">
        <v>144</v>
      </c>
    </row>
    <row r="387" spans="1:13" x14ac:dyDescent="0.3">
      <c r="A387" t="s">
        <v>718</v>
      </c>
      <c r="B387" t="s">
        <v>290</v>
      </c>
      <c r="C387" t="s">
        <v>33</v>
      </c>
      <c r="D387" t="s">
        <v>90</v>
      </c>
      <c r="E387" t="s">
        <v>42</v>
      </c>
      <c r="F387" t="s">
        <v>83</v>
      </c>
      <c r="G387" t="s">
        <v>19</v>
      </c>
      <c r="H387" t="s">
        <v>36</v>
      </c>
      <c r="I387">
        <v>5777</v>
      </c>
      <c r="J387">
        <v>1</v>
      </c>
      <c r="K387">
        <v>4.2</v>
      </c>
      <c r="L387">
        <v>4</v>
      </c>
      <c r="M387" t="s">
        <v>87</v>
      </c>
    </row>
    <row r="388" spans="1:13" x14ac:dyDescent="0.3">
      <c r="A388" t="s">
        <v>719</v>
      </c>
      <c r="B388" t="s">
        <v>404</v>
      </c>
      <c r="C388" t="s">
        <v>24</v>
      </c>
      <c r="D388" t="s">
        <v>113</v>
      </c>
      <c r="E388" t="s">
        <v>35</v>
      </c>
      <c r="F388" t="s">
        <v>27</v>
      </c>
      <c r="G388" t="s">
        <v>104</v>
      </c>
      <c r="H388" t="s">
        <v>20</v>
      </c>
      <c r="I388">
        <v>45899</v>
      </c>
      <c r="J388">
        <v>1</v>
      </c>
      <c r="K388">
        <v>3.4</v>
      </c>
      <c r="L388">
        <v>3</v>
      </c>
      <c r="M388" t="s">
        <v>80</v>
      </c>
    </row>
    <row r="389" spans="1:13" x14ac:dyDescent="0.3">
      <c r="A389" t="s">
        <v>720</v>
      </c>
      <c r="B389" t="s">
        <v>603</v>
      </c>
      <c r="C389" t="s">
        <v>40</v>
      </c>
      <c r="D389" t="s">
        <v>46</v>
      </c>
      <c r="E389" t="s">
        <v>42</v>
      </c>
      <c r="F389" t="s">
        <v>60</v>
      </c>
      <c r="G389" t="s">
        <v>19</v>
      </c>
      <c r="H389" t="s">
        <v>36</v>
      </c>
      <c r="I389">
        <v>7608</v>
      </c>
      <c r="J389">
        <v>2</v>
      </c>
      <c r="K389">
        <v>4.5999999999999996</v>
      </c>
      <c r="L389">
        <v>2</v>
      </c>
      <c r="M389" t="s">
        <v>144</v>
      </c>
    </row>
    <row r="390" spans="1:13" x14ac:dyDescent="0.3">
      <c r="A390" t="s">
        <v>721</v>
      </c>
      <c r="B390" t="s">
        <v>722</v>
      </c>
      <c r="C390" t="s">
        <v>125</v>
      </c>
      <c r="D390" t="s">
        <v>130</v>
      </c>
      <c r="E390" t="s">
        <v>35</v>
      </c>
      <c r="F390" t="s">
        <v>27</v>
      </c>
      <c r="G390" t="s">
        <v>104</v>
      </c>
      <c r="H390" t="s">
        <v>64</v>
      </c>
      <c r="I390">
        <v>209300</v>
      </c>
      <c r="J390">
        <v>7</v>
      </c>
      <c r="K390">
        <v>3.4</v>
      </c>
      <c r="L390">
        <v>2</v>
      </c>
      <c r="M390" t="s">
        <v>65</v>
      </c>
    </row>
    <row r="391" spans="1:13" x14ac:dyDescent="0.3">
      <c r="A391" t="s">
        <v>723</v>
      </c>
      <c r="B391" t="s">
        <v>533</v>
      </c>
      <c r="C391" t="s">
        <v>45</v>
      </c>
      <c r="D391" t="s">
        <v>59</v>
      </c>
      <c r="E391" t="s">
        <v>26</v>
      </c>
      <c r="F391" t="s">
        <v>83</v>
      </c>
      <c r="G391" t="s">
        <v>104</v>
      </c>
      <c r="H391" t="s">
        <v>20</v>
      </c>
      <c r="I391">
        <v>53724</v>
      </c>
      <c r="J391">
        <v>6</v>
      </c>
      <c r="K391">
        <v>4.0999999999999996</v>
      </c>
      <c r="L391">
        <v>3</v>
      </c>
      <c r="M391" t="s">
        <v>21</v>
      </c>
    </row>
    <row r="392" spans="1:13" x14ac:dyDescent="0.3">
      <c r="A392" t="s">
        <v>724</v>
      </c>
      <c r="B392" t="s">
        <v>143</v>
      </c>
      <c r="C392" t="s">
        <v>129</v>
      </c>
      <c r="D392" t="s">
        <v>16</v>
      </c>
      <c r="E392" t="s">
        <v>17</v>
      </c>
      <c r="F392" t="s">
        <v>100</v>
      </c>
      <c r="G392" t="s">
        <v>19</v>
      </c>
      <c r="H392" t="s">
        <v>36</v>
      </c>
      <c r="I392">
        <v>12640</v>
      </c>
      <c r="J392">
        <v>8</v>
      </c>
      <c r="K392">
        <v>3.9</v>
      </c>
      <c r="L392">
        <v>6</v>
      </c>
      <c r="M392" t="s">
        <v>144</v>
      </c>
    </row>
    <row r="393" spans="1:13" x14ac:dyDescent="0.3">
      <c r="A393" t="s">
        <v>725</v>
      </c>
      <c r="B393" t="s">
        <v>135</v>
      </c>
      <c r="C393" t="s">
        <v>170</v>
      </c>
      <c r="D393" t="s">
        <v>109</v>
      </c>
      <c r="E393" t="s">
        <v>52</v>
      </c>
      <c r="F393" t="s">
        <v>53</v>
      </c>
      <c r="G393" t="s">
        <v>28</v>
      </c>
      <c r="H393" t="s">
        <v>36</v>
      </c>
      <c r="I393">
        <v>2958</v>
      </c>
      <c r="J393">
        <v>2</v>
      </c>
      <c r="K393">
        <v>4.5999999999999996</v>
      </c>
      <c r="L393">
        <v>2</v>
      </c>
      <c r="M393" t="s">
        <v>21</v>
      </c>
    </row>
    <row r="394" spans="1:13" x14ac:dyDescent="0.3">
      <c r="A394" t="s">
        <v>726</v>
      </c>
      <c r="B394" t="s">
        <v>727</v>
      </c>
      <c r="C394" t="s">
        <v>146</v>
      </c>
      <c r="D394" t="s">
        <v>63</v>
      </c>
      <c r="E394" t="s">
        <v>52</v>
      </c>
      <c r="F394" t="s">
        <v>100</v>
      </c>
      <c r="G394" t="s">
        <v>104</v>
      </c>
      <c r="H394" t="s">
        <v>64</v>
      </c>
      <c r="I394">
        <v>13272</v>
      </c>
      <c r="J394">
        <v>6</v>
      </c>
      <c r="K394">
        <v>3.4</v>
      </c>
      <c r="L394">
        <v>3</v>
      </c>
      <c r="M394" t="s">
        <v>126</v>
      </c>
    </row>
    <row r="395" spans="1:13" x14ac:dyDescent="0.3">
      <c r="A395" t="s">
        <v>728</v>
      </c>
      <c r="B395" t="s">
        <v>729</v>
      </c>
      <c r="C395" t="s">
        <v>129</v>
      </c>
      <c r="D395" t="s">
        <v>41</v>
      </c>
      <c r="E395" t="s">
        <v>42</v>
      </c>
      <c r="F395" t="s">
        <v>18</v>
      </c>
      <c r="G395" t="s">
        <v>19</v>
      </c>
      <c r="H395" t="s">
        <v>29</v>
      </c>
      <c r="I395">
        <v>25445</v>
      </c>
      <c r="J395">
        <v>5</v>
      </c>
      <c r="K395">
        <v>3.6</v>
      </c>
      <c r="L395">
        <v>6</v>
      </c>
      <c r="M395" t="s">
        <v>65</v>
      </c>
    </row>
    <row r="396" spans="1:13" x14ac:dyDescent="0.3">
      <c r="A396" t="s">
        <v>730</v>
      </c>
      <c r="B396" t="s">
        <v>731</v>
      </c>
      <c r="C396" t="s">
        <v>170</v>
      </c>
      <c r="D396" t="s">
        <v>218</v>
      </c>
      <c r="E396" t="s">
        <v>17</v>
      </c>
      <c r="F396" t="s">
        <v>27</v>
      </c>
      <c r="G396" t="s">
        <v>54</v>
      </c>
      <c r="H396" t="s">
        <v>29</v>
      </c>
      <c r="I396">
        <v>4407</v>
      </c>
      <c r="J396">
        <v>3</v>
      </c>
      <c r="K396">
        <v>4.8</v>
      </c>
      <c r="L396">
        <v>5</v>
      </c>
      <c r="M396" t="s">
        <v>55</v>
      </c>
    </row>
    <row r="397" spans="1:13" x14ac:dyDescent="0.3">
      <c r="A397" t="s">
        <v>732</v>
      </c>
      <c r="B397" t="s">
        <v>220</v>
      </c>
      <c r="C397" t="s">
        <v>129</v>
      </c>
      <c r="D397" t="s">
        <v>41</v>
      </c>
      <c r="E397" t="s">
        <v>42</v>
      </c>
      <c r="F397" t="s">
        <v>18</v>
      </c>
      <c r="G397" t="s">
        <v>19</v>
      </c>
      <c r="H397" t="s">
        <v>36</v>
      </c>
      <c r="I397">
        <v>9880</v>
      </c>
      <c r="J397">
        <v>4</v>
      </c>
      <c r="K397">
        <v>3.7</v>
      </c>
      <c r="L397">
        <v>2</v>
      </c>
      <c r="M397" t="s">
        <v>65</v>
      </c>
    </row>
    <row r="398" spans="1:13" x14ac:dyDescent="0.3">
      <c r="A398" t="s">
        <v>733</v>
      </c>
      <c r="B398" t="s">
        <v>734</v>
      </c>
      <c r="C398" t="s">
        <v>68</v>
      </c>
      <c r="D398" t="s">
        <v>41</v>
      </c>
      <c r="E398" t="s">
        <v>42</v>
      </c>
      <c r="F398" t="s">
        <v>100</v>
      </c>
      <c r="G398" t="s">
        <v>19</v>
      </c>
      <c r="H398" t="s">
        <v>20</v>
      </c>
      <c r="I398">
        <v>14967</v>
      </c>
      <c r="J398">
        <v>3</v>
      </c>
      <c r="K398">
        <v>4.5999999999999996</v>
      </c>
      <c r="L398">
        <v>3</v>
      </c>
      <c r="M398" t="s">
        <v>65</v>
      </c>
    </row>
    <row r="399" spans="1:13" x14ac:dyDescent="0.3">
      <c r="A399" t="s">
        <v>735</v>
      </c>
      <c r="B399" t="s">
        <v>454</v>
      </c>
      <c r="C399" t="s">
        <v>68</v>
      </c>
      <c r="D399" t="s">
        <v>116</v>
      </c>
      <c r="E399" t="s">
        <v>17</v>
      </c>
      <c r="F399" t="s">
        <v>100</v>
      </c>
      <c r="G399" t="s">
        <v>104</v>
      </c>
      <c r="H399" t="s">
        <v>36</v>
      </c>
      <c r="I399">
        <v>616</v>
      </c>
      <c r="J399">
        <v>2</v>
      </c>
      <c r="K399">
        <v>3.8</v>
      </c>
      <c r="L399">
        <v>1</v>
      </c>
      <c r="M399" t="s">
        <v>55</v>
      </c>
    </row>
    <row r="400" spans="1:13" x14ac:dyDescent="0.3">
      <c r="A400" t="s">
        <v>736</v>
      </c>
      <c r="B400" t="s">
        <v>737</v>
      </c>
      <c r="C400" t="s">
        <v>68</v>
      </c>
      <c r="D400" t="s">
        <v>59</v>
      </c>
      <c r="E400" t="s">
        <v>26</v>
      </c>
      <c r="F400" t="s">
        <v>53</v>
      </c>
      <c r="G400" t="s">
        <v>19</v>
      </c>
      <c r="H400" t="s">
        <v>20</v>
      </c>
      <c r="I400">
        <v>21328</v>
      </c>
      <c r="J400">
        <v>4</v>
      </c>
      <c r="K400">
        <v>4.2</v>
      </c>
      <c r="L400">
        <v>8</v>
      </c>
      <c r="M400" t="s">
        <v>192</v>
      </c>
    </row>
    <row r="401" spans="1:13" x14ac:dyDescent="0.3">
      <c r="A401" t="s">
        <v>738</v>
      </c>
      <c r="B401" t="s">
        <v>739</v>
      </c>
      <c r="C401" t="s">
        <v>58</v>
      </c>
      <c r="D401" t="s">
        <v>113</v>
      </c>
      <c r="E401" t="s">
        <v>35</v>
      </c>
      <c r="F401" t="s">
        <v>83</v>
      </c>
      <c r="G401" t="s">
        <v>19</v>
      </c>
      <c r="H401" t="s">
        <v>36</v>
      </c>
      <c r="I401">
        <v>96832</v>
      </c>
      <c r="J401">
        <v>2</v>
      </c>
      <c r="K401">
        <v>3.7</v>
      </c>
      <c r="L401">
        <v>5</v>
      </c>
      <c r="M401" t="s">
        <v>144</v>
      </c>
    </row>
    <row r="402" spans="1:13" x14ac:dyDescent="0.3">
      <c r="A402" t="s">
        <v>740</v>
      </c>
      <c r="B402" t="s">
        <v>624</v>
      </c>
      <c r="C402" t="s">
        <v>33</v>
      </c>
      <c r="D402" t="s">
        <v>165</v>
      </c>
      <c r="E402" t="s">
        <v>35</v>
      </c>
      <c r="F402" t="s">
        <v>18</v>
      </c>
      <c r="G402" t="s">
        <v>28</v>
      </c>
      <c r="H402" t="s">
        <v>64</v>
      </c>
      <c r="I402">
        <v>50400</v>
      </c>
      <c r="J402">
        <v>8</v>
      </c>
      <c r="K402">
        <v>3.3</v>
      </c>
      <c r="L402">
        <v>7</v>
      </c>
      <c r="M402" t="s">
        <v>126</v>
      </c>
    </row>
    <row r="403" spans="1:13" x14ac:dyDescent="0.3">
      <c r="A403" t="s">
        <v>741</v>
      </c>
      <c r="B403" t="s">
        <v>595</v>
      </c>
      <c r="C403" t="s">
        <v>58</v>
      </c>
      <c r="D403" t="s">
        <v>51</v>
      </c>
      <c r="E403" t="s">
        <v>52</v>
      </c>
      <c r="F403" t="s">
        <v>83</v>
      </c>
      <c r="G403" t="s">
        <v>54</v>
      </c>
      <c r="H403" t="s">
        <v>64</v>
      </c>
      <c r="I403">
        <v>9666</v>
      </c>
      <c r="J403">
        <v>6</v>
      </c>
      <c r="K403">
        <v>5</v>
      </c>
      <c r="L403">
        <v>8</v>
      </c>
      <c r="M403" t="s">
        <v>192</v>
      </c>
    </row>
    <row r="404" spans="1:13" x14ac:dyDescent="0.3">
      <c r="A404" t="s">
        <v>742</v>
      </c>
      <c r="B404" t="s">
        <v>743</v>
      </c>
      <c r="C404" t="s">
        <v>50</v>
      </c>
      <c r="D404" t="s">
        <v>116</v>
      </c>
      <c r="E404" t="s">
        <v>17</v>
      </c>
      <c r="F404" t="s">
        <v>83</v>
      </c>
      <c r="G404" t="s">
        <v>104</v>
      </c>
      <c r="H404" t="s">
        <v>29</v>
      </c>
      <c r="I404">
        <v>10104</v>
      </c>
      <c r="J404">
        <v>8</v>
      </c>
      <c r="K404">
        <v>3.7</v>
      </c>
      <c r="L404">
        <v>6</v>
      </c>
      <c r="M404" t="s">
        <v>126</v>
      </c>
    </row>
    <row r="405" spans="1:13" x14ac:dyDescent="0.3">
      <c r="A405" t="s">
        <v>744</v>
      </c>
      <c r="B405" t="s">
        <v>308</v>
      </c>
      <c r="C405" t="s">
        <v>129</v>
      </c>
      <c r="D405" t="s">
        <v>90</v>
      </c>
      <c r="E405" t="s">
        <v>42</v>
      </c>
      <c r="F405" t="s">
        <v>100</v>
      </c>
      <c r="G405" t="s">
        <v>19</v>
      </c>
      <c r="H405" t="s">
        <v>36</v>
      </c>
      <c r="I405">
        <v>9242</v>
      </c>
      <c r="J405">
        <v>2</v>
      </c>
      <c r="K405">
        <v>4.7</v>
      </c>
      <c r="L405">
        <v>5</v>
      </c>
      <c r="M405" t="s">
        <v>144</v>
      </c>
    </row>
    <row r="406" spans="1:13" x14ac:dyDescent="0.3">
      <c r="A406" t="s">
        <v>745</v>
      </c>
      <c r="B406" t="s">
        <v>681</v>
      </c>
      <c r="C406" t="s">
        <v>78</v>
      </c>
      <c r="D406" t="s">
        <v>41</v>
      </c>
      <c r="E406" t="s">
        <v>42</v>
      </c>
      <c r="F406" t="s">
        <v>83</v>
      </c>
      <c r="G406" t="s">
        <v>28</v>
      </c>
      <c r="H406" t="s">
        <v>64</v>
      </c>
      <c r="I406">
        <v>7966</v>
      </c>
      <c r="J406">
        <v>2</v>
      </c>
      <c r="K406">
        <v>3.9</v>
      </c>
      <c r="L406">
        <v>4</v>
      </c>
      <c r="M406" t="s">
        <v>126</v>
      </c>
    </row>
    <row r="407" spans="1:13" x14ac:dyDescent="0.3">
      <c r="A407" t="s">
        <v>746</v>
      </c>
      <c r="B407" t="s">
        <v>475</v>
      </c>
      <c r="C407" t="s">
        <v>58</v>
      </c>
      <c r="D407" t="s">
        <v>218</v>
      </c>
      <c r="E407" t="s">
        <v>17</v>
      </c>
      <c r="F407" t="s">
        <v>60</v>
      </c>
      <c r="G407" t="s">
        <v>54</v>
      </c>
      <c r="H407" t="s">
        <v>64</v>
      </c>
      <c r="I407">
        <v>8337</v>
      </c>
      <c r="J407">
        <v>7</v>
      </c>
      <c r="K407">
        <v>4.4000000000000004</v>
      </c>
      <c r="L407">
        <v>2</v>
      </c>
      <c r="M407" t="s">
        <v>37</v>
      </c>
    </row>
    <row r="408" spans="1:13" x14ac:dyDescent="0.3">
      <c r="A408" t="s">
        <v>747</v>
      </c>
      <c r="B408" t="s">
        <v>564</v>
      </c>
      <c r="C408" t="s">
        <v>170</v>
      </c>
      <c r="D408" t="s">
        <v>165</v>
      </c>
      <c r="E408" t="s">
        <v>35</v>
      </c>
      <c r="F408" t="s">
        <v>60</v>
      </c>
      <c r="G408" t="s">
        <v>54</v>
      </c>
      <c r="H408" t="s">
        <v>36</v>
      </c>
      <c r="I408">
        <v>445504</v>
      </c>
      <c r="J408">
        <v>8</v>
      </c>
      <c r="K408">
        <v>3.4</v>
      </c>
      <c r="L408">
        <v>7</v>
      </c>
      <c r="M408" t="s">
        <v>87</v>
      </c>
    </row>
    <row r="409" spans="1:13" x14ac:dyDescent="0.3">
      <c r="A409" t="s">
        <v>748</v>
      </c>
      <c r="B409" t="s">
        <v>640</v>
      </c>
      <c r="C409" t="s">
        <v>179</v>
      </c>
      <c r="D409" t="s">
        <v>63</v>
      </c>
      <c r="E409" t="s">
        <v>52</v>
      </c>
      <c r="F409" t="s">
        <v>83</v>
      </c>
      <c r="G409" t="s">
        <v>104</v>
      </c>
      <c r="H409" t="s">
        <v>29</v>
      </c>
      <c r="I409">
        <v>861</v>
      </c>
      <c r="J409">
        <v>1</v>
      </c>
      <c r="K409">
        <v>3.9</v>
      </c>
      <c r="L409">
        <v>8</v>
      </c>
      <c r="M409" t="s">
        <v>30</v>
      </c>
    </row>
    <row r="410" spans="1:13" x14ac:dyDescent="0.3">
      <c r="A410" t="s">
        <v>749</v>
      </c>
      <c r="B410" t="s">
        <v>391</v>
      </c>
      <c r="C410" t="s">
        <v>33</v>
      </c>
      <c r="D410" t="s">
        <v>59</v>
      </c>
      <c r="E410" t="s">
        <v>26</v>
      </c>
      <c r="F410" t="s">
        <v>53</v>
      </c>
      <c r="G410" t="s">
        <v>54</v>
      </c>
      <c r="H410" t="s">
        <v>36</v>
      </c>
      <c r="I410">
        <v>44532</v>
      </c>
      <c r="J410">
        <v>6</v>
      </c>
      <c r="K410">
        <v>4.7</v>
      </c>
      <c r="L410">
        <v>5</v>
      </c>
      <c r="M410" t="s">
        <v>47</v>
      </c>
    </row>
    <row r="411" spans="1:13" x14ac:dyDescent="0.3">
      <c r="A411" t="s">
        <v>750</v>
      </c>
      <c r="B411" t="s">
        <v>675</v>
      </c>
      <c r="C411" t="s">
        <v>50</v>
      </c>
      <c r="D411" t="s">
        <v>59</v>
      </c>
      <c r="E411" t="s">
        <v>26</v>
      </c>
      <c r="F411" t="s">
        <v>60</v>
      </c>
      <c r="G411" t="s">
        <v>28</v>
      </c>
      <c r="H411" t="s">
        <v>20</v>
      </c>
      <c r="I411">
        <v>36295</v>
      </c>
      <c r="J411">
        <v>5</v>
      </c>
      <c r="K411">
        <v>4.3</v>
      </c>
      <c r="L411">
        <v>7</v>
      </c>
      <c r="M411" t="s">
        <v>87</v>
      </c>
    </row>
    <row r="412" spans="1:13" x14ac:dyDescent="0.3">
      <c r="A412" t="s">
        <v>751</v>
      </c>
      <c r="B412" t="s">
        <v>752</v>
      </c>
      <c r="C412" t="s">
        <v>72</v>
      </c>
      <c r="D412" t="s">
        <v>51</v>
      </c>
      <c r="E412" t="s">
        <v>52</v>
      </c>
      <c r="F412" t="s">
        <v>18</v>
      </c>
      <c r="G412" t="s">
        <v>54</v>
      </c>
      <c r="H412" t="s">
        <v>36</v>
      </c>
      <c r="I412">
        <v>7300</v>
      </c>
      <c r="J412">
        <v>4</v>
      </c>
      <c r="K412">
        <v>3.7</v>
      </c>
      <c r="L412">
        <v>3</v>
      </c>
      <c r="M412" t="s">
        <v>80</v>
      </c>
    </row>
    <row r="413" spans="1:13" x14ac:dyDescent="0.3">
      <c r="A413" t="s">
        <v>753</v>
      </c>
      <c r="B413" t="s">
        <v>275</v>
      </c>
      <c r="C413" t="s">
        <v>45</v>
      </c>
      <c r="D413" t="s">
        <v>51</v>
      </c>
      <c r="E413" t="s">
        <v>52</v>
      </c>
      <c r="F413" t="s">
        <v>83</v>
      </c>
      <c r="G413" t="s">
        <v>28</v>
      </c>
      <c r="H413" t="s">
        <v>64</v>
      </c>
      <c r="I413">
        <v>4172</v>
      </c>
      <c r="J413">
        <v>7</v>
      </c>
      <c r="K413">
        <v>4.7</v>
      </c>
      <c r="L413">
        <v>7</v>
      </c>
      <c r="M413" t="s">
        <v>119</v>
      </c>
    </row>
    <row r="414" spans="1:13" x14ac:dyDescent="0.3">
      <c r="A414" t="s">
        <v>754</v>
      </c>
      <c r="B414" t="s">
        <v>352</v>
      </c>
      <c r="C414" t="s">
        <v>112</v>
      </c>
      <c r="D414" t="s">
        <v>69</v>
      </c>
      <c r="E414" t="s">
        <v>26</v>
      </c>
      <c r="F414" t="s">
        <v>53</v>
      </c>
      <c r="G414" t="s">
        <v>28</v>
      </c>
      <c r="H414" t="s">
        <v>29</v>
      </c>
      <c r="I414">
        <v>5526</v>
      </c>
      <c r="J414">
        <v>6</v>
      </c>
      <c r="K414">
        <v>4.2</v>
      </c>
      <c r="L414">
        <v>4</v>
      </c>
      <c r="M414" t="s">
        <v>55</v>
      </c>
    </row>
    <row r="415" spans="1:13" x14ac:dyDescent="0.3">
      <c r="A415" t="s">
        <v>755</v>
      </c>
      <c r="B415" t="s">
        <v>756</v>
      </c>
      <c r="C415" t="s">
        <v>72</v>
      </c>
      <c r="D415" t="s">
        <v>16</v>
      </c>
      <c r="E415" t="s">
        <v>17</v>
      </c>
      <c r="F415" t="s">
        <v>27</v>
      </c>
      <c r="G415" t="s">
        <v>104</v>
      </c>
      <c r="H415" t="s">
        <v>64</v>
      </c>
      <c r="I415">
        <v>13944</v>
      </c>
      <c r="J415">
        <v>8</v>
      </c>
      <c r="K415">
        <v>4.9000000000000004</v>
      </c>
      <c r="L415">
        <v>2</v>
      </c>
      <c r="M415" t="s">
        <v>30</v>
      </c>
    </row>
    <row r="416" spans="1:13" x14ac:dyDescent="0.3">
      <c r="A416" t="s">
        <v>757</v>
      </c>
      <c r="B416" t="s">
        <v>169</v>
      </c>
      <c r="C416" t="s">
        <v>45</v>
      </c>
      <c r="D416" t="s">
        <v>25</v>
      </c>
      <c r="E416" t="s">
        <v>26</v>
      </c>
      <c r="F416" t="s">
        <v>18</v>
      </c>
      <c r="G416" t="s">
        <v>104</v>
      </c>
      <c r="H416" t="s">
        <v>36</v>
      </c>
      <c r="I416">
        <v>19268</v>
      </c>
      <c r="J416">
        <v>2</v>
      </c>
      <c r="K416">
        <v>4.5999999999999996</v>
      </c>
      <c r="L416">
        <v>5</v>
      </c>
      <c r="M416" t="s">
        <v>65</v>
      </c>
    </row>
    <row r="417" spans="1:13" x14ac:dyDescent="0.3">
      <c r="A417" t="s">
        <v>758</v>
      </c>
      <c r="B417" t="s">
        <v>525</v>
      </c>
      <c r="C417" t="s">
        <v>45</v>
      </c>
      <c r="D417" t="s">
        <v>90</v>
      </c>
      <c r="E417" t="s">
        <v>42</v>
      </c>
      <c r="F417" t="s">
        <v>27</v>
      </c>
      <c r="G417" t="s">
        <v>104</v>
      </c>
      <c r="H417" t="s">
        <v>29</v>
      </c>
      <c r="I417">
        <v>28728</v>
      </c>
      <c r="J417">
        <v>8</v>
      </c>
      <c r="K417">
        <v>3.7</v>
      </c>
      <c r="L417">
        <v>1</v>
      </c>
      <c r="M417" t="s">
        <v>65</v>
      </c>
    </row>
    <row r="418" spans="1:13" x14ac:dyDescent="0.3">
      <c r="A418" t="s">
        <v>759</v>
      </c>
      <c r="B418" t="s">
        <v>760</v>
      </c>
      <c r="C418" t="s">
        <v>72</v>
      </c>
      <c r="D418" t="s">
        <v>116</v>
      </c>
      <c r="E418" t="s">
        <v>17</v>
      </c>
      <c r="F418" t="s">
        <v>100</v>
      </c>
      <c r="G418" t="s">
        <v>54</v>
      </c>
      <c r="H418" t="s">
        <v>29</v>
      </c>
      <c r="I418">
        <v>4419</v>
      </c>
      <c r="J418">
        <v>3</v>
      </c>
      <c r="K418">
        <v>3.7</v>
      </c>
      <c r="L418">
        <v>2</v>
      </c>
      <c r="M418" t="s">
        <v>30</v>
      </c>
    </row>
    <row r="419" spans="1:13" x14ac:dyDescent="0.3">
      <c r="A419" t="s">
        <v>761</v>
      </c>
      <c r="B419" t="s">
        <v>595</v>
      </c>
      <c r="C419" t="s">
        <v>146</v>
      </c>
      <c r="D419" t="s">
        <v>34</v>
      </c>
      <c r="E419" t="s">
        <v>35</v>
      </c>
      <c r="F419" t="s">
        <v>53</v>
      </c>
      <c r="G419" t="s">
        <v>19</v>
      </c>
      <c r="H419" t="s">
        <v>29</v>
      </c>
      <c r="I419">
        <v>21805</v>
      </c>
      <c r="J419">
        <v>5</v>
      </c>
      <c r="K419">
        <v>3.5</v>
      </c>
      <c r="L419">
        <v>3</v>
      </c>
      <c r="M419" t="s">
        <v>192</v>
      </c>
    </row>
    <row r="420" spans="1:13" x14ac:dyDescent="0.3">
      <c r="A420" t="s">
        <v>762</v>
      </c>
      <c r="B420" t="s">
        <v>763</v>
      </c>
      <c r="C420" t="s">
        <v>50</v>
      </c>
      <c r="D420" t="s">
        <v>51</v>
      </c>
      <c r="E420" t="s">
        <v>52</v>
      </c>
      <c r="F420" t="s">
        <v>83</v>
      </c>
      <c r="G420" t="s">
        <v>28</v>
      </c>
      <c r="H420" t="s">
        <v>20</v>
      </c>
      <c r="I420">
        <v>595</v>
      </c>
      <c r="J420">
        <v>1</v>
      </c>
      <c r="K420">
        <v>4.7</v>
      </c>
      <c r="L420">
        <v>7</v>
      </c>
      <c r="M420" t="s">
        <v>37</v>
      </c>
    </row>
    <row r="421" spans="1:13" x14ac:dyDescent="0.3">
      <c r="A421" t="s">
        <v>764</v>
      </c>
      <c r="B421" t="s">
        <v>697</v>
      </c>
      <c r="C421" t="s">
        <v>78</v>
      </c>
      <c r="D421" t="s">
        <v>109</v>
      </c>
      <c r="E421" t="s">
        <v>52</v>
      </c>
      <c r="F421" t="s">
        <v>83</v>
      </c>
      <c r="G421" t="s">
        <v>28</v>
      </c>
      <c r="H421" t="s">
        <v>64</v>
      </c>
      <c r="I421">
        <v>2325</v>
      </c>
      <c r="J421">
        <v>5</v>
      </c>
      <c r="K421">
        <v>4.0999999999999996</v>
      </c>
      <c r="L421">
        <v>8</v>
      </c>
      <c r="M421" t="s">
        <v>144</v>
      </c>
    </row>
    <row r="422" spans="1:13" x14ac:dyDescent="0.3">
      <c r="A422" t="s">
        <v>765</v>
      </c>
      <c r="B422" t="s">
        <v>404</v>
      </c>
      <c r="C422" t="s">
        <v>68</v>
      </c>
      <c r="D422" t="s">
        <v>46</v>
      </c>
      <c r="E422" t="s">
        <v>42</v>
      </c>
      <c r="F422" t="s">
        <v>100</v>
      </c>
      <c r="G422" t="s">
        <v>104</v>
      </c>
      <c r="H422" t="s">
        <v>64</v>
      </c>
      <c r="I422">
        <v>26803</v>
      </c>
      <c r="J422">
        <v>7</v>
      </c>
      <c r="K422">
        <v>3.8</v>
      </c>
      <c r="L422">
        <v>1</v>
      </c>
      <c r="M422" t="s">
        <v>80</v>
      </c>
    </row>
    <row r="423" spans="1:13" x14ac:dyDescent="0.3">
      <c r="A423" t="s">
        <v>766</v>
      </c>
      <c r="B423" t="s">
        <v>462</v>
      </c>
      <c r="C423" t="s">
        <v>58</v>
      </c>
      <c r="D423" t="s">
        <v>59</v>
      </c>
      <c r="E423" t="s">
        <v>26</v>
      </c>
      <c r="F423" t="s">
        <v>83</v>
      </c>
      <c r="G423" t="s">
        <v>104</v>
      </c>
      <c r="H423" t="s">
        <v>20</v>
      </c>
      <c r="I423">
        <v>36040</v>
      </c>
      <c r="J423">
        <v>5</v>
      </c>
      <c r="K423">
        <v>4</v>
      </c>
      <c r="L423">
        <v>4</v>
      </c>
      <c r="M423" t="s">
        <v>126</v>
      </c>
    </row>
    <row r="424" spans="1:13" x14ac:dyDescent="0.3">
      <c r="A424" t="s">
        <v>767</v>
      </c>
      <c r="B424" t="s">
        <v>605</v>
      </c>
      <c r="C424" t="s">
        <v>129</v>
      </c>
      <c r="D424" t="s">
        <v>165</v>
      </c>
      <c r="E424" t="s">
        <v>35</v>
      </c>
      <c r="F424" t="s">
        <v>83</v>
      </c>
      <c r="G424" t="s">
        <v>104</v>
      </c>
      <c r="H424" t="s">
        <v>29</v>
      </c>
      <c r="I424">
        <v>56403</v>
      </c>
      <c r="J424">
        <v>1</v>
      </c>
      <c r="K424">
        <v>3.4</v>
      </c>
      <c r="L424">
        <v>8</v>
      </c>
      <c r="M424" t="s">
        <v>144</v>
      </c>
    </row>
    <row r="425" spans="1:13" x14ac:dyDescent="0.3">
      <c r="A425" t="s">
        <v>768</v>
      </c>
      <c r="B425" t="s">
        <v>143</v>
      </c>
      <c r="C425" t="s">
        <v>75</v>
      </c>
      <c r="D425" t="s">
        <v>147</v>
      </c>
      <c r="E425" t="s">
        <v>52</v>
      </c>
      <c r="F425" t="s">
        <v>100</v>
      </c>
      <c r="G425" t="s">
        <v>19</v>
      </c>
      <c r="H425" t="s">
        <v>64</v>
      </c>
      <c r="I425">
        <v>2276</v>
      </c>
      <c r="J425">
        <v>2</v>
      </c>
      <c r="K425">
        <v>4.5</v>
      </c>
      <c r="L425">
        <v>2</v>
      </c>
      <c r="M425" t="s">
        <v>144</v>
      </c>
    </row>
    <row r="426" spans="1:13" x14ac:dyDescent="0.3">
      <c r="A426" t="s">
        <v>769</v>
      </c>
      <c r="B426" t="s">
        <v>675</v>
      </c>
      <c r="C426" t="s">
        <v>133</v>
      </c>
      <c r="D426" t="s">
        <v>79</v>
      </c>
      <c r="E426" t="s">
        <v>26</v>
      </c>
      <c r="F426" t="s">
        <v>27</v>
      </c>
      <c r="G426" t="s">
        <v>104</v>
      </c>
      <c r="H426" t="s">
        <v>29</v>
      </c>
      <c r="I426">
        <v>33795</v>
      </c>
      <c r="J426">
        <v>3</v>
      </c>
      <c r="K426">
        <v>4</v>
      </c>
      <c r="L426">
        <v>5</v>
      </c>
      <c r="M426" t="s">
        <v>87</v>
      </c>
    </row>
    <row r="427" spans="1:13" x14ac:dyDescent="0.3">
      <c r="A427" t="s">
        <v>770</v>
      </c>
      <c r="B427" t="s">
        <v>115</v>
      </c>
      <c r="C427" t="s">
        <v>24</v>
      </c>
      <c r="D427" t="s">
        <v>147</v>
      </c>
      <c r="E427" t="s">
        <v>52</v>
      </c>
      <c r="F427" t="s">
        <v>60</v>
      </c>
      <c r="G427" t="s">
        <v>54</v>
      </c>
      <c r="H427" t="s">
        <v>64</v>
      </c>
      <c r="I427">
        <v>1841</v>
      </c>
      <c r="J427">
        <v>1</v>
      </c>
      <c r="K427">
        <v>4.9000000000000004</v>
      </c>
      <c r="L427">
        <v>5</v>
      </c>
      <c r="M427" t="s">
        <v>21</v>
      </c>
    </row>
    <row r="428" spans="1:13" x14ac:dyDescent="0.3">
      <c r="A428" t="s">
        <v>771</v>
      </c>
      <c r="B428" t="s">
        <v>393</v>
      </c>
      <c r="C428" t="s">
        <v>146</v>
      </c>
      <c r="D428" t="s">
        <v>51</v>
      </c>
      <c r="E428" t="s">
        <v>52</v>
      </c>
      <c r="F428" t="s">
        <v>27</v>
      </c>
      <c r="G428" t="s">
        <v>104</v>
      </c>
      <c r="H428" t="s">
        <v>36</v>
      </c>
      <c r="I428">
        <v>6712</v>
      </c>
      <c r="J428">
        <v>8</v>
      </c>
      <c r="K428">
        <v>4.3</v>
      </c>
      <c r="L428">
        <v>2</v>
      </c>
      <c r="M428" t="s">
        <v>37</v>
      </c>
    </row>
    <row r="429" spans="1:13" x14ac:dyDescent="0.3">
      <c r="A429" t="s">
        <v>772</v>
      </c>
      <c r="B429" t="s">
        <v>589</v>
      </c>
      <c r="C429" t="s">
        <v>50</v>
      </c>
      <c r="D429" t="s">
        <v>16</v>
      </c>
      <c r="E429" t="s">
        <v>17</v>
      </c>
      <c r="F429" t="s">
        <v>53</v>
      </c>
      <c r="G429" t="s">
        <v>19</v>
      </c>
      <c r="H429" t="s">
        <v>29</v>
      </c>
      <c r="I429">
        <v>6065</v>
      </c>
      <c r="J429">
        <v>5</v>
      </c>
      <c r="K429">
        <v>4.4000000000000004</v>
      </c>
      <c r="L429">
        <v>1</v>
      </c>
      <c r="M429" t="s">
        <v>87</v>
      </c>
    </row>
    <row r="430" spans="1:13" x14ac:dyDescent="0.3">
      <c r="A430" t="s">
        <v>773</v>
      </c>
      <c r="B430" t="s">
        <v>326</v>
      </c>
      <c r="C430" t="s">
        <v>125</v>
      </c>
      <c r="D430" t="s">
        <v>41</v>
      </c>
      <c r="E430" t="s">
        <v>42</v>
      </c>
      <c r="F430" t="s">
        <v>18</v>
      </c>
      <c r="G430" t="s">
        <v>104</v>
      </c>
      <c r="H430" t="s">
        <v>29</v>
      </c>
      <c r="I430">
        <v>10192</v>
      </c>
      <c r="J430">
        <v>8</v>
      </c>
      <c r="K430">
        <v>3.6</v>
      </c>
      <c r="L430">
        <v>7</v>
      </c>
      <c r="M430" t="s">
        <v>65</v>
      </c>
    </row>
    <row r="431" spans="1:13" x14ac:dyDescent="0.3">
      <c r="A431" t="s">
        <v>774</v>
      </c>
      <c r="B431" t="s">
        <v>217</v>
      </c>
      <c r="C431" t="s">
        <v>179</v>
      </c>
      <c r="D431" t="s">
        <v>97</v>
      </c>
      <c r="E431" t="s">
        <v>35</v>
      </c>
      <c r="F431" t="s">
        <v>83</v>
      </c>
      <c r="G431" t="s">
        <v>54</v>
      </c>
      <c r="H431" t="s">
        <v>64</v>
      </c>
      <c r="I431">
        <v>94144</v>
      </c>
      <c r="J431">
        <v>2</v>
      </c>
      <c r="K431">
        <v>4.5999999999999996</v>
      </c>
      <c r="L431">
        <v>5</v>
      </c>
      <c r="M431" t="s">
        <v>144</v>
      </c>
    </row>
    <row r="432" spans="1:13" x14ac:dyDescent="0.3">
      <c r="A432" t="s">
        <v>775</v>
      </c>
      <c r="B432" t="s">
        <v>298</v>
      </c>
      <c r="C432" t="s">
        <v>72</v>
      </c>
      <c r="D432" t="s">
        <v>109</v>
      </c>
      <c r="E432" t="s">
        <v>52</v>
      </c>
      <c r="F432" t="s">
        <v>18</v>
      </c>
      <c r="G432" t="s">
        <v>19</v>
      </c>
      <c r="H432" t="s">
        <v>36</v>
      </c>
      <c r="I432">
        <v>12047</v>
      </c>
      <c r="J432">
        <v>7</v>
      </c>
      <c r="K432">
        <v>4</v>
      </c>
      <c r="L432">
        <v>4</v>
      </c>
      <c r="M432" t="s">
        <v>119</v>
      </c>
    </row>
    <row r="433" spans="1:13" x14ac:dyDescent="0.3">
      <c r="A433" t="s">
        <v>776</v>
      </c>
      <c r="B433" t="s">
        <v>74</v>
      </c>
      <c r="C433" t="s">
        <v>15</v>
      </c>
      <c r="D433" t="s">
        <v>79</v>
      </c>
      <c r="E433" t="s">
        <v>26</v>
      </c>
      <c r="F433" t="s">
        <v>18</v>
      </c>
      <c r="G433" t="s">
        <v>104</v>
      </c>
      <c r="H433" t="s">
        <v>36</v>
      </c>
      <c r="I433">
        <v>66836</v>
      </c>
      <c r="J433">
        <v>7</v>
      </c>
      <c r="K433">
        <v>4.9000000000000004</v>
      </c>
      <c r="L433">
        <v>8</v>
      </c>
      <c r="M433" t="s">
        <v>65</v>
      </c>
    </row>
    <row r="434" spans="1:13" x14ac:dyDescent="0.3">
      <c r="A434" t="s">
        <v>777</v>
      </c>
      <c r="B434" t="s">
        <v>176</v>
      </c>
      <c r="C434" t="s">
        <v>75</v>
      </c>
      <c r="D434" t="s">
        <v>113</v>
      </c>
      <c r="E434" t="s">
        <v>35</v>
      </c>
      <c r="F434" t="s">
        <v>18</v>
      </c>
      <c r="G434" t="s">
        <v>19</v>
      </c>
      <c r="H434" t="s">
        <v>64</v>
      </c>
      <c r="I434">
        <v>125158</v>
      </c>
      <c r="J434">
        <v>2</v>
      </c>
      <c r="K434">
        <v>4.5</v>
      </c>
      <c r="L434">
        <v>4</v>
      </c>
      <c r="M434" t="s">
        <v>55</v>
      </c>
    </row>
    <row r="435" spans="1:13" x14ac:dyDescent="0.3">
      <c r="A435" t="s">
        <v>778</v>
      </c>
      <c r="B435" t="s">
        <v>215</v>
      </c>
      <c r="C435" t="s">
        <v>68</v>
      </c>
      <c r="D435" t="s">
        <v>116</v>
      </c>
      <c r="E435" t="s">
        <v>17</v>
      </c>
      <c r="F435" t="s">
        <v>60</v>
      </c>
      <c r="G435" t="s">
        <v>19</v>
      </c>
      <c r="H435" t="s">
        <v>36</v>
      </c>
      <c r="I435">
        <v>797</v>
      </c>
      <c r="J435">
        <v>1</v>
      </c>
      <c r="K435">
        <v>3.3</v>
      </c>
      <c r="L435">
        <v>5</v>
      </c>
      <c r="M435" t="s">
        <v>192</v>
      </c>
    </row>
    <row r="436" spans="1:13" x14ac:dyDescent="0.3">
      <c r="A436" t="s">
        <v>779</v>
      </c>
      <c r="B436" t="s">
        <v>220</v>
      </c>
      <c r="C436" t="s">
        <v>58</v>
      </c>
      <c r="D436" t="s">
        <v>16</v>
      </c>
      <c r="E436" t="s">
        <v>17</v>
      </c>
      <c r="F436" t="s">
        <v>100</v>
      </c>
      <c r="G436" t="s">
        <v>19</v>
      </c>
      <c r="H436" t="s">
        <v>29</v>
      </c>
      <c r="I436">
        <v>1716</v>
      </c>
      <c r="J436">
        <v>4</v>
      </c>
      <c r="K436">
        <v>3.9</v>
      </c>
      <c r="L436">
        <v>2</v>
      </c>
      <c r="M436" t="s">
        <v>65</v>
      </c>
    </row>
    <row r="437" spans="1:13" x14ac:dyDescent="0.3">
      <c r="A437" t="s">
        <v>780</v>
      </c>
      <c r="B437" t="s">
        <v>489</v>
      </c>
      <c r="C437" t="s">
        <v>129</v>
      </c>
      <c r="D437" t="s">
        <v>147</v>
      </c>
      <c r="E437" t="s">
        <v>52</v>
      </c>
      <c r="F437" t="s">
        <v>100</v>
      </c>
      <c r="G437" t="s">
        <v>19</v>
      </c>
      <c r="H437" t="s">
        <v>64</v>
      </c>
      <c r="I437">
        <v>1524</v>
      </c>
      <c r="J437">
        <v>3</v>
      </c>
      <c r="K437">
        <v>4.5999999999999996</v>
      </c>
      <c r="L437">
        <v>3</v>
      </c>
      <c r="M437" t="s">
        <v>30</v>
      </c>
    </row>
    <row r="438" spans="1:13" x14ac:dyDescent="0.3">
      <c r="A438" t="s">
        <v>781</v>
      </c>
      <c r="B438" t="s">
        <v>670</v>
      </c>
      <c r="C438" t="s">
        <v>24</v>
      </c>
      <c r="D438" t="s">
        <v>147</v>
      </c>
      <c r="E438" t="s">
        <v>52</v>
      </c>
      <c r="F438" t="s">
        <v>18</v>
      </c>
      <c r="G438" t="s">
        <v>104</v>
      </c>
      <c r="H438" t="s">
        <v>64</v>
      </c>
      <c r="I438">
        <v>3580</v>
      </c>
      <c r="J438">
        <v>2</v>
      </c>
      <c r="K438">
        <v>3.3</v>
      </c>
      <c r="L438">
        <v>1</v>
      </c>
      <c r="M438" t="s">
        <v>80</v>
      </c>
    </row>
    <row r="439" spans="1:13" x14ac:dyDescent="0.3">
      <c r="A439" t="s">
        <v>782</v>
      </c>
      <c r="B439" t="s">
        <v>635</v>
      </c>
      <c r="C439" t="s">
        <v>45</v>
      </c>
      <c r="D439" t="s">
        <v>159</v>
      </c>
      <c r="E439" t="s">
        <v>42</v>
      </c>
      <c r="F439" t="s">
        <v>27</v>
      </c>
      <c r="G439" t="s">
        <v>54</v>
      </c>
      <c r="H439" t="s">
        <v>20</v>
      </c>
      <c r="I439">
        <v>13167</v>
      </c>
      <c r="J439">
        <v>3</v>
      </c>
      <c r="K439">
        <v>3.6</v>
      </c>
      <c r="L439">
        <v>3</v>
      </c>
      <c r="M439" t="s">
        <v>37</v>
      </c>
    </row>
    <row r="440" spans="1:13" x14ac:dyDescent="0.3">
      <c r="A440" t="s">
        <v>783</v>
      </c>
      <c r="B440" t="s">
        <v>784</v>
      </c>
      <c r="C440" t="s">
        <v>45</v>
      </c>
      <c r="D440" t="s">
        <v>41</v>
      </c>
      <c r="E440" t="s">
        <v>42</v>
      </c>
      <c r="F440" t="s">
        <v>53</v>
      </c>
      <c r="G440" t="s">
        <v>19</v>
      </c>
      <c r="H440" t="s">
        <v>64</v>
      </c>
      <c r="I440">
        <v>26340</v>
      </c>
      <c r="J440">
        <v>5</v>
      </c>
      <c r="K440">
        <v>3.5</v>
      </c>
      <c r="L440">
        <v>2</v>
      </c>
      <c r="M440" t="s">
        <v>192</v>
      </c>
    </row>
    <row r="441" spans="1:13" x14ac:dyDescent="0.3">
      <c r="A441" t="s">
        <v>785</v>
      </c>
      <c r="B441" t="s">
        <v>697</v>
      </c>
      <c r="C441" t="s">
        <v>33</v>
      </c>
      <c r="D441" t="s">
        <v>109</v>
      </c>
      <c r="E441" t="s">
        <v>52</v>
      </c>
      <c r="F441" t="s">
        <v>27</v>
      </c>
      <c r="G441" t="s">
        <v>104</v>
      </c>
      <c r="H441" t="s">
        <v>29</v>
      </c>
      <c r="I441">
        <v>3444</v>
      </c>
      <c r="J441">
        <v>4</v>
      </c>
      <c r="K441">
        <v>3.5</v>
      </c>
      <c r="L441">
        <v>1</v>
      </c>
      <c r="M441" t="s">
        <v>144</v>
      </c>
    </row>
    <row r="442" spans="1:13" x14ac:dyDescent="0.3">
      <c r="A442" t="s">
        <v>786</v>
      </c>
      <c r="B442" t="s">
        <v>195</v>
      </c>
      <c r="C442" t="s">
        <v>24</v>
      </c>
      <c r="D442" t="s">
        <v>51</v>
      </c>
      <c r="E442" t="s">
        <v>52</v>
      </c>
      <c r="F442" t="s">
        <v>18</v>
      </c>
      <c r="G442" t="s">
        <v>28</v>
      </c>
      <c r="H442" t="s">
        <v>36</v>
      </c>
      <c r="I442">
        <v>12636</v>
      </c>
      <c r="J442">
        <v>6</v>
      </c>
      <c r="K442">
        <v>4.9000000000000004</v>
      </c>
      <c r="L442">
        <v>3</v>
      </c>
      <c r="M442" t="s">
        <v>21</v>
      </c>
    </row>
    <row r="443" spans="1:13" x14ac:dyDescent="0.3">
      <c r="A443" t="s">
        <v>787</v>
      </c>
      <c r="B443" t="s">
        <v>313</v>
      </c>
      <c r="C443" t="s">
        <v>122</v>
      </c>
      <c r="D443" t="s">
        <v>86</v>
      </c>
      <c r="E443" t="s">
        <v>17</v>
      </c>
      <c r="F443" t="s">
        <v>27</v>
      </c>
      <c r="G443" t="s">
        <v>28</v>
      </c>
      <c r="H443" t="s">
        <v>20</v>
      </c>
      <c r="I443">
        <v>6948</v>
      </c>
      <c r="J443">
        <v>6</v>
      </c>
      <c r="K443">
        <v>3.8</v>
      </c>
      <c r="L443">
        <v>2</v>
      </c>
      <c r="M443" t="s">
        <v>47</v>
      </c>
    </row>
    <row r="444" spans="1:13" x14ac:dyDescent="0.3">
      <c r="A444" t="s">
        <v>788</v>
      </c>
      <c r="B444" t="s">
        <v>185</v>
      </c>
      <c r="C444" t="s">
        <v>24</v>
      </c>
      <c r="D444" t="s">
        <v>159</v>
      </c>
      <c r="E444" t="s">
        <v>42</v>
      </c>
      <c r="F444" t="s">
        <v>60</v>
      </c>
      <c r="G444" t="s">
        <v>104</v>
      </c>
      <c r="H444" t="s">
        <v>20</v>
      </c>
      <c r="I444">
        <v>34160</v>
      </c>
      <c r="J444">
        <v>8</v>
      </c>
      <c r="K444">
        <v>3.6</v>
      </c>
      <c r="L444">
        <v>8</v>
      </c>
      <c r="M444" t="s">
        <v>87</v>
      </c>
    </row>
    <row r="445" spans="1:13" x14ac:dyDescent="0.3">
      <c r="A445" t="s">
        <v>789</v>
      </c>
      <c r="B445" t="s">
        <v>790</v>
      </c>
      <c r="C445" t="s">
        <v>103</v>
      </c>
      <c r="D445" t="s">
        <v>159</v>
      </c>
      <c r="E445" t="s">
        <v>42</v>
      </c>
      <c r="F445" t="s">
        <v>83</v>
      </c>
      <c r="G445" t="s">
        <v>54</v>
      </c>
      <c r="H445" t="s">
        <v>64</v>
      </c>
      <c r="I445">
        <v>10452</v>
      </c>
      <c r="J445">
        <v>6</v>
      </c>
      <c r="K445">
        <v>4.4000000000000004</v>
      </c>
      <c r="L445">
        <v>1</v>
      </c>
      <c r="M445" t="s">
        <v>192</v>
      </c>
    </row>
    <row r="446" spans="1:13" x14ac:dyDescent="0.3">
      <c r="A446" t="s">
        <v>791</v>
      </c>
      <c r="B446" t="s">
        <v>336</v>
      </c>
      <c r="C446" t="s">
        <v>58</v>
      </c>
      <c r="D446" t="s">
        <v>90</v>
      </c>
      <c r="E446" t="s">
        <v>42</v>
      </c>
      <c r="F446" t="s">
        <v>100</v>
      </c>
      <c r="G446" t="s">
        <v>19</v>
      </c>
      <c r="H446" t="s">
        <v>36</v>
      </c>
      <c r="I446">
        <v>11904</v>
      </c>
      <c r="J446">
        <v>6</v>
      </c>
      <c r="K446">
        <v>4.9000000000000004</v>
      </c>
      <c r="L446">
        <v>3</v>
      </c>
      <c r="M446" t="s">
        <v>80</v>
      </c>
    </row>
    <row r="447" spans="1:13" x14ac:dyDescent="0.3">
      <c r="A447" t="s">
        <v>792</v>
      </c>
      <c r="B447" t="s">
        <v>32</v>
      </c>
      <c r="C447" t="s">
        <v>58</v>
      </c>
      <c r="D447" t="s">
        <v>90</v>
      </c>
      <c r="E447" t="s">
        <v>42</v>
      </c>
      <c r="F447" t="s">
        <v>83</v>
      </c>
      <c r="G447" t="s">
        <v>19</v>
      </c>
      <c r="H447" t="s">
        <v>36</v>
      </c>
      <c r="I447">
        <v>33656</v>
      </c>
      <c r="J447">
        <v>8</v>
      </c>
      <c r="K447">
        <v>3.6</v>
      </c>
      <c r="L447">
        <v>7</v>
      </c>
      <c r="M447" t="s">
        <v>37</v>
      </c>
    </row>
    <row r="448" spans="1:13" x14ac:dyDescent="0.3">
      <c r="A448" t="s">
        <v>793</v>
      </c>
      <c r="B448" t="s">
        <v>583</v>
      </c>
      <c r="C448" t="s">
        <v>146</v>
      </c>
      <c r="D448" t="s">
        <v>41</v>
      </c>
      <c r="E448" t="s">
        <v>42</v>
      </c>
      <c r="F448" t="s">
        <v>60</v>
      </c>
      <c r="G448" t="s">
        <v>19</v>
      </c>
      <c r="H448" t="s">
        <v>36</v>
      </c>
      <c r="I448">
        <v>40400</v>
      </c>
      <c r="J448">
        <v>8</v>
      </c>
      <c r="K448">
        <v>4.0999999999999996</v>
      </c>
      <c r="L448">
        <v>2</v>
      </c>
      <c r="M448" t="s">
        <v>144</v>
      </c>
    </row>
    <row r="449" spans="1:13" x14ac:dyDescent="0.3">
      <c r="A449" t="s">
        <v>794</v>
      </c>
      <c r="B449" t="s">
        <v>411</v>
      </c>
      <c r="C449" t="s">
        <v>15</v>
      </c>
      <c r="D449" t="s">
        <v>25</v>
      </c>
      <c r="E449" t="s">
        <v>26</v>
      </c>
      <c r="F449" t="s">
        <v>60</v>
      </c>
      <c r="G449" t="s">
        <v>104</v>
      </c>
      <c r="H449" t="s">
        <v>20</v>
      </c>
      <c r="I449">
        <v>33012</v>
      </c>
      <c r="J449">
        <v>7</v>
      </c>
      <c r="K449">
        <v>4.4000000000000004</v>
      </c>
      <c r="L449">
        <v>2</v>
      </c>
      <c r="M449" t="s">
        <v>119</v>
      </c>
    </row>
    <row r="450" spans="1:13" x14ac:dyDescent="0.3">
      <c r="A450" t="s">
        <v>795</v>
      </c>
      <c r="B450" t="s">
        <v>44</v>
      </c>
      <c r="C450" t="s">
        <v>75</v>
      </c>
      <c r="D450" t="s">
        <v>41</v>
      </c>
      <c r="E450" t="s">
        <v>42</v>
      </c>
      <c r="F450" t="s">
        <v>60</v>
      </c>
      <c r="G450" t="s">
        <v>104</v>
      </c>
      <c r="H450" t="s">
        <v>36</v>
      </c>
      <c r="I450">
        <v>29872</v>
      </c>
      <c r="J450">
        <v>8</v>
      </c>
      <c r="K450">
        <v>4</v>
      </c>
      <c r="L450">
        <v>1</v>
      </c>
      <c r="M450" t="s">
        <v>47</v>
      </c>
    </row>
    <row r="451" spans="1:13" x14ac:dyDescent="0.3">
      <c r="A451" t="s">
        <v>796</v>
      </c>
      <c r="B451" t="s">
        <v>797</v>
      </c>
      <c r="C451" t="s">
        <v>33</v>
      </c>
      <c r="D451" t="s">
        <v>97</v>
      </c>
      <c r="E451" t="s">
        <v>35</v>
      </c>
      <c r="F451" t="s">
        <v>18</v>
      </c>
      <c r="G451" t="s">
        <v>28</v>
      </c>
      <c r="H451" t="s">
        <v>29</v>
      </c>
      <c r="I451">
        <v>335296</v>
      </c>
      <c r="J451">
        <v>4</v>
      </c>
      <c r="K451">
        <v>4.0999999999999996</v>
      </c>
      <c r="L451">
        <v>6</v>
      </c>
      <c r="M451" t="s">
        <v>21</v>
      </c>
    </row>
    <row r="452" spans="1:13" x14ac:dyDescent="0.3">
      <c r="A452" t="s">
        <v>798</v>
      </c>
      <c r="B452" t="s">
        <v>799</v>
      </c>
      <c r="C452" t="s">
        <v>78</v>
      </c>
      <c r="D452" t="s">
        <v>41</v>
      </c>
      <c r="E452" t="s">
        <v>42</v>
      </c>
      <c r="F452" t="s">
        <v>18</v>
      </c>
      <c r="G452" t="s">
        <v>28</v>
      </c>
      <c r="H452" t="s">
        <v>20</v>
      </c>
      <c r="I452">
        <v>14262</v>
      </c>
      <c r="J452">
        <v>6</v>
      </c>
      <c r="K452">
        <v>5</v>
      </c>
      <c r="L452">
        <v>4</v>
      </c>
      <c r="M452" t="s">
        <v>55</v>
      </c>
    </row>
    <row r="453" spans="1:13" x14ac:dyDescent="0.3">
      <c r="A453" t="s">
        <v>800</v>
      </c>
      <c r="B453" t="s">
        <v>154</v>
      </c>
      <c r="C453" t="s">
        <v>125</v>
      </c>
      <c r="D453" t="s">
        <v>109</v>
      </c>
      <c r="E453" t="s">
        <v>52</v>
      </c>
      <c r="F453" t="s">
        <v>100</v>
      </c>
      <c r="G453" t="s">
        <v>54</v>
      </c>
      <c r="H453" t="s">
        <v>64</v>
      </c>
      <c r="I453">
        <v>9910</v>
      </c>
      <c r="J453">
        <v>5</v>
      </c>
      <c r="K453">
        <v>3.9</v>
      </c>
      <c r="L453">
        <v>8</v>
      </c>
      <c r="M453" t="s">
        <v>126</v>
      </c>
    </row>
    <row r="454" spans="1:13" x14ac:dyDescent="0.3">
      <c r="A454" t="s">
        <v>801</v>
      </c>
      <c r="B454" t="s">
        <v>802</v>
      </c>
      <c r="C454" t="s">
        <v>40</v>
      </c>
      <c r="D454" t="s">
        <v>59</v>
      </c>
      <c r="E454" t="s">
        <v>26</v>
      </c>
      <c r="F454" t="s">
        <v>18</v>
      </c>
      <c r="G454" t="s">
        <v>54</v>
      </c>
      <c r="H454" t="s">
        <v>20</v>
      </c>
      <c r="I454">
        <v>13380</v>
      </c>
      <c r="J454">
        <v>6</v>
      </c>
      <c r="K454">
        <v>3.3</v>
      </c>
      <c r="L454">
        <v>3</v>
      </c>
      <c r="M454" t="s">
        <v>47</v>
      </c>
    </row>
    <row r="455" spans="1:13" x14ac:dyDescent="0.3">
      <c r="A455" t="s">
        <v>803</v>
      </c>
      <c r="B455" t="s">
        <v>298</v>
      </c>
      <c r="C455" t="s">
        <v>78</v>
      </c>
      <c r="D455" t="s">
        <v>113</v>
      </c>
      <c r="E455" t="s">
        <v>35</v>
      </c>
      <c r="F455" t="s">
        <v>83</v>
      </c>
      <c r="G455" t="s">
        <v>28</v>
      </c>
      <c r="H455" t="s">
        <v>29</v>
      </c>
      <c r="I455">
        <v>87816</v>
      </c>
      <c r="J455">
        <v>3</v>
      </c>
      <c r="K455">
        <v>3.2</v>
      </c>
      <c r="L455">
        <v>7</v>
      </c>
      <c r="M455" t="s">
        <v>119</v>
      </c>
    </row>
    <row r="456" spans="1:13" x14ac:dyDescent="0.3">
      <c r="A456" t="s">
        <v>804</v>
      </c>
      <c r="B456" t="s">
        <v>805</v>
      </c>
      <c r="C456" t="s">
        <v>133</v>
      </c>
      <c r="D456" t="s">
        <v>90</v>
      </c>
      <c r="E456" t="s">
        <v>42</v>
      </c>
      <c r="F456" t="s">
        <v>100</v>
      </c>
      <c r="G456" t="s">
        <v>104</v>
      </c>
      <c r="H456" t="s">
        <v>29</v>
      </c>
      <c r="I456">
        <v>880</v>
      </c>
      <c r="J456">
        <v>1</v>
      </c>
      <c r="K456">
        <v>4.7</v>
      </c>
      <c r="L456">
        <v>6</v>
      </c>
      <c r="M456" t="s">
        <v>192</v>
      </c>
    </row>
    <row r="457" spans="1:13" x14ac:dyDescent="0.3">
      <c r="A457" t="s">
        <v>806</v>
      </c>
      <c r="B457" t="s">
        <v>406</v>
      </c>
      <c r="C457" t="s">
        <v>40</v>
      </c>
      <c r="D457" t="s">
        <v>90</v>
      </c>
      <c r="E457" t="s">
        <v>42</v>
      </c>
      <c r="F457" t="s">
        <v>18</v>
      </c>
      <c r="G457" t="s">
        <v>19</v>
      </c>
      <c r="H457" t="s">
        <v>29</v>
      </c>
      <c r="I457">
        <v>10530</v>
      </c>
      <c r="J457">
        <v>5</v>
      </c>
      <c r="K457">
        <v>3.6</v>
      </c>
      <c r="L457">
        <v>6</v>
      </c>
      <c r="M457" t="s">
        <v>47</v>
      </c>
    </row>
    <row r="458" spans="1:13" x14ac:dyDescent="0.3">
      <c r="A458" t="s">
        <v>807</v>
      </c>
      <c r="B458" t="s">
        <v>415</v>
      </c>
      <c r="C458" t="s">
        <v>24</v>
      </c>
      <c r="D458" t="s">
        <v>97</v>
      </c>
      <c r="E458" t="s">
        <v>35</v>
      </c>
      <c r="F458" t="s">
        <v>83</v>
      </c>
      <c r="G458" t="s">
        <v>54</v>
      </c>
      <c r="H458" t="s">
        <v>36</v>
      </c>
      <c r="I458">
        <v>119661</v>
      </c>
      <c r="J458">
        <v>3</v>
      </c>
      <c r="K458">
        <v>4.7</v>
      </c>
      <c r="L458">
        <v>3</v>
      </c>
      <c r="M458" t="s">
        <v>80</v>
      </c>
    </row>
    <row r="459" spans="1:13" x14ac:dyDescent="0.3">
      <c r="A459" t="s">
        <v>808</v>
      </c>
      <c r="B459" t="s">
        <v>510</v>
      </c>
      <c r="C459" t="s">
        <v>129</v>
      </c>
      <c r="D459" t="s">
        <v>165</v>
      </c>
      <c r="E459" t="s">
        <v>35</v>
      </c>
      <c r="F459" t="s">
        <v>83</v>
      </c>
      <c r="G459" t="s">
        <v>104</v>
      </c>
      <c r="H459" t="s">
        <v>64</v>
      </c>
      <c r="I459">
        <v>213456</v>
      </c>
      <c r="J459">
        <v>8</v>
      </c>
      <c r="K459">
        <v>4.5</v>
      </c>
      <c r="L459">
        <v>6</v>
      </c>
      <c r="M459" t="s">
        <v>80</v>
      </c>
    </row>
    <row r="460" spans="1:13" x14ac:dyDescent="0.3">
      <c r="A460" t="s">
        <v>809</v>
      </c>
      <c r="B460" t="s">
        <v>810</v>
      </c>
      <c r="C460" t="s">
        <v>72</v>
      </c>
      <c r="D460" t="s">
        <v>79</v>
      </c>
      <c r="E460" t="s">
        <v>26</v>
      </c>
      <c r="F460" t="s">
        <v>18</v>
      </c>
      <c r="G460" t="s">
        <v>104</v>
      </c>
      <c r="H460" t="s">
        <v>29</v>
      </c>
      <c r="I460">
        <v>15905</v>
      </c>
      <c r="J460">
        <v>5</v>
      </c>
      <c r="K460">
        <v>4.9000000000000004</v>
      </c>
      <c r="L460">
        <v>6</v>
      </c>
      <c r="M460" t="s">
        <v>30</v>
      </c>
    </row>
    <row r="461" spans="1:13" x14ac:dyDescent="0.3">
      <c r="A461" t="s">
        <v>811</v>
      </c>
      <c r="B461" t="s">
        <v>252</v>
      </c>
      <c r="C461" t="s">
        <v>78</v>
      </c>
      <c r="D461" t="s">
        <v>46</v>
      </c>
      <c r="E461" t="s">
        <v>42</v>
      </c>
      <c r="F461" t="s">
        <v>18</v>
      </c>
      <c r="G461" t="s">
        <v>104</v>
      </c>
      <c r="H461" t="s">
        <v>36</v>
      </c>
      <c r="I461">
        <v>4860</v>
      </c>
      <c r="J461">
        <v>3</v>
      </c>
      <c r="K461">
        <v>4.8</v>
      </c>
      <c r="L461">
        <v>3</v>
      </c>
      <c r="M461" t="s">
        <v>30</v>
      </c>
    </row>
    <row r="462" spans="1:13" x14ac:dyDescent="0.3">
      <c r="A462" t="s">
        <v>812</v>
      </c>
      <c r="B462" t="s">
        <v>306</v>
      </c>
      <c r="C462" t="s">
        <v>103</v>
      </c>
      <c r="D462" t="s">
        <v>159</v>
      </c>
      <c r="E462" t="s">
        <v>42</v>
      </c>
      <c r="F462" t="s">
        <v>83</v>
      </c>
      <c r="G462" t="s">
        <v>54</v>
      </c>
      <c r="H462" t="s">
        <v>36</v>
      </c>
      <c r="I462">
        <v>34086</v>
      </c>
      <c r="J462">
        <v>6</v>
      </c>
      <c r="K462">
        <v>3.6</v>
      </c>
      <c r="L462">
        <v>4</v>
      </c>
      <c r="M462" t="s">
        <v>47</v>
      </c>
    </row>
    <row r="463" spans="1:13" x14ac:dyDescent="0.3">
      <c r="A463" t="s">
        <v>813</v>
      </c>
      <c r="B463" t="s">
        <v>139</v>
      </c>
      <c r="C463" t="s">
        <v>129</v>
      </c>
      <c r="D463" t="s">
        <v>69</v>
      </c>
      <c r="E463" t="s">
        <v>26</v>
      </c>
      <c r="F463" t="s">
        <v>60</v>
      </c>
      <c r="G463" t="s">
        <v>19</v>
      </c>
      <c r="H463" t="s">
        <v>64</v>
      </c>
      <c r="I463">
        <v>12012</v>
      </c>
      <c r="J463">
        <v>2</v>
      </c>
      <c r="K463">
        <v>4.3</v>
      </c>
      <c r="L463">
        <v>1</v>
      </c>
      <c r="M463" t="s">
        <v>119</v>
      </c>
    </row>
    <row r="464" spans="1:13" x14ac:dyDescent="0.3">
      <c r="A464" t="s">
        <v>814</v>
      </c>
      <c r="B464" t="s">
        <v>310</v>
      </c>
      <c r="C464" t="s">
        <v>179</v>
      </c>
      <c r="D464" t="s">
        <v>97</v>
      </c>
      <c r="E464" t="s">
        <v>35</v>
      </c>
      <c r="F464" t="s">
        <v>27</v>
      </c>
      <c r="G464" t="s">
        <v>28</v>
      </c>
      <c r="H464" t="s">
        <v>64</v>
      </c>
      <c r="I464">
        <v>48552</v>
      </c>
      <c r="J464">
        <v>1</v>
      </c>
      <c r="K464">
        <v>4.8</v>
      </c>
      <c r="L464">
        <v>2</v>
      </c>
      <c r="M464" t="s">
        <v>55</v>
      </c>
    </row>
    <row r="465" spans="1:13" x14ac:dyDescent="0.3">
      <c r="A465" t="s">
        <v>815</v>
      </c>
      <c r="B465" t="s">
        <v>708</v>
      </c>
      <c r="C465" t="s">
        <v>40</v>
      </c>
      <c r="D465" t="s">
        <v>46</v>
      </c>
      <c r="E465" t="s">
        <v>42</v>
      </c>
      <c r="F465" t="s">
        <v>60</v>
      </c>
      <c r="G465" t="s">
        <v>104</v>
      </c>
      <c r="H465" t="s">
        <v>36</v>
      </c>
      <c r="I465">
        <v>38570</v>
      </c>
      <c r="J465">
        <v>7</v>
      </c>
      <c r="K465">
        <v>3.4</v>
      </c>
      <c r="L465">
        <v>4</v>
      </c>
      <c r="M465" t="s">
        <v>80</v>
      </c>
    </row>
    <row r="466" spans="1:13" x14ac:dyDescent="0.3">
      <c r="A466" t="s">
        <v>816</v>
      </c>
      <c r="B466" t="s">
        <v>561</v>
      </c>
      <c r="C466" t="s">
        <v>179</v>
      </c>
      <c r="D466" t="s">
        <v>69</v>
      </c>
      <c r="E466" t="s">
        <v>26</v>
      </c>
      <c r="F466" t="s">
        <v>83</v>
      </c>
      <c r="G466" t="s">
        <v>28</v>
      </c>
      <c r="H466" t="s">
        <v>29</v>
      </c>
      <c r="I466">
        <v>9906</v>
      </c>
      <c r="J466">
        <v>1</v>
      </c>
      <c r="K466">
        <v>4</v>
      </c>
      <c r="L466">
        <v>3</v>
      </c>
      <c r="M466" t="s">
        <v>87</v>
      </c>
    </row>
    <row r="467" spans="1:13" x14ac:dyDescent="0.3">
      <c r="A467" t="s">
        <v>817</v>
      </c>
      <c r="B467" t="s">
        <v>666</v>
      </c>
      <c r="C467" t="s">
        <v>72</v>
      </c>
      <c r="D467" t="s">
        <v>69</v>
      </c>
      <c r="E467" t="s">
        <v>26</v>
      </c>
      <c r="F467" t="s">
        <v>53</v>
      </c>
      <c r="G467" t="s">
        <v>104</v>
      </c>
      <c r="H467" t="s">
        <v>64</v>
      </c>
      <c r="I467">
        <v>41965</v>
      </c>
      <c r="J467">
        <v>5</v>
      </c>
      <c r="K467">
        <v>3.6</v>
      </c>
      <c r="L467">
        <v>1</v>
      </c>
      <c r="M467" t="s">
        <v>144</v>
      </c>
    </row>
    <row r="468" spans="1:13" x14ac:dyDescent="0.3">
      <c r="A468" t="s">
        <v>818</v>
      </c>
      <c r="B468" t="s">
        <v>545</v>
      </c>
      <c r="C468" t="s">
        <v>45</v>
      </c>
      <c r="D468" t="s">
        <v>218</v>
      </c>
      <c r="E468" t="s">
        <v>17</v>
      </c>
      <c r="F468" t="s">
        <v>27</v>
      </c>
      <c r="G468" t="s">
        <v>104</v>
      </c>
      <c r="H468" t="s">
        <v>64</v>
      </c>
      <c r="I468">
        <v>3921</v>
      </c>
      <c r="J468">
        <v>3</v>
      </c>
      <c r="K468">
        <v>4.0999999999999996</v>
      </c>
      <c r="L468">
        <v>2</v>
      </c>
      <c r="M468" t="s">
        <v>47</v>
      </c>
    </row>
    <row r="469" spans="1:13" x14ac:dyDescent="0.3">
      <c r="A469" t="s">
        <v>819</v>
      </c>
      <c r="B469" t="s">
        <v>533</v>
      </c>
      <c r="C469" t="s">
        <v>24</v>
      </c>
      <c r="D469" t="s">
        <v>69</v>
      </c>
      <c r="E469" t="s">
        <v>26</v>
      </c>
      <c r="F469" t="s">
        <v>100</v>
      </c>
      <c r="G469" t="s">
        <v>54</v>
      </c>
      <c r="H469" t="s">
        <v>20</v>
      </c>
      <c r="I469">
        <v>81800</v>
      </c>
      <c r="J469">
        <v>8</v>
      </c>
      <c r="K469">
        <v>3.2</v>
      </c>
      <c r="L469">
        <v>5</v>
      </c>
      <c r="M469" t="s">
        <v>21</v>
      </c>
    </row>
    <row r="470" spans="1:13" x14ac:dyDescent="0.3">
      <c r="A470" t="s">
        <v>820</v>
      </c>
      <c r="B470" t="s">
        <v>411</v>
      </c>
      <c r="C470" t="s">
        <v>33</v>
      </c>
      <c r="D470" t="s">
        <v>97</v>
      </c>
      <c r="E470" t="s">
        <v>35</v>
      </c>
      <c r="F470" t="s">
        <v>53</v>
      </c>
      <c r="G470" t="s">
        <v>104</v>
      </c>
      <c r="H470" t="s">
        <v>36</v>
      </c>
      <c r="I470">
        <v>28296</v>
      </c>
      <c r="J470">
        <v>3</v>
      </c>
      <c r="K470">
        <v>4</v>
      </c>
      <c r="L470">
        <v>6</v>
      </c>
      <c r="M470" t="s">
        <v>119</v>
      </c>
    </row>
    <row r="471" spans="1:13" x14ac:dyDescent="0.3">
      <c r="A471" t="s">
        <v>821</v>
      </c>
      <c r="B471" t="s">
        <v>784</v>
      </c>
      <c r="C471" t="s">
        <v>103</v>
      </c>
      <c r="D471" t="s">
        <v>79</v>
      </c>
      <c r="E471" t="s">
        <v>26</v>
      </c>
      <c r="F471" t="s">
        <v>27</v>
      </c>
      <c r="G471" t="s">
        <v>104</v>
      </c>
      <c r="H471" t="s">
        <v>36</v>
      </c>
      <c r="I471">
        <v>17940</v>
      </c>
      <c r="J471">
        <v>3</v>
      </c>
      <c r="K471">
        <v>4.7</v>
      </c>
      <c r="L471">
        <v>5</v>
      </c>
      <c r="M471" t="s">
        <v>192</v>
      </c>
    </row>
    <row r="472" spans="1:13" x14ac:dyDescent="0.3">
      <c r="A472" t="s">
        <v>822</v>
      </c>
      <c r="B472" t="s">
        <v>371</v>
      </c>
      <c r="C472" t="s">
        <v>68</v>
      </c>
      <c r="D472" t="s">
        <v>59</v>
      </c>
      <c r="E472" t="s">
        <v>26</v>
      </c>
      <c r="F472" t="s">
        <v>83</v>
      </c>
      <c r="G472" t="s">
        <v>19</v>
      </c>
      <c r="H472" t="s">
        <v>20</v>
      </c>
      <c r="I472">
        <v>8744</v>
      </c>
      <c r="J472">
        <v>1</v>
      </c>
      <c r="K472">
        <v>3.9</v>
      </c>
      <c r="L472">
        <v>3</v>
      </c>
      <c r="M472" t="s">
        <v>80</v>
      </c>
    </row>
    <row r="473" spans="1:13" x14ac:dyDescent="0.3">
      <c r="A473" t="s">
        <v>823</v>
      </c>
      <c r="B473" t="s">
        <v>545</v>
      </c>
      <c r="C473" t="s">
        <v>72</v>
      </c>
      <c r="D473" t="s">
        <v>147</v>
      </c>
      <c r="E473" t="s">
        <v>52</v>
      </c>
      <c r="F473" t="s">
        <v>60</v>
      </c>
      <c r="G473" t="s">
        <v>104</v>
      </c>
      <c r="H473" t="s">
        <v>20</v>
      </c>
      <c r="I473">
        <v>5816</v>
      </c>
      <c r="J473">
        <v>8</v>
      </c>
      <c r="K473">
        <v>3.8</v>
      </c>
      <c r="L473">
        <v>6</v>
      </c>
      <c r="M473" t="s">
        <v>47</v>
      </c>
    </row>
    <row r="474" spans="1:13" x14ac:dyDescent="0.3">
      <c r="A474" t="s">
        <v>824</v>
      </c>
      <c r="B474" t="s">
        <v>825</v>
      </c>
      <c r="C474" t="s">
        <v>133</v>
      </c>
      <c r="D474" t="s">
        <v>113</v>
      </c>
      <c r="E474" t="s">
        <v>35</v>
      </c>
      <c r="F474" t="s">
        <v>27</v>
      </c>
      <c r="G474" t="s">
        <v>54</v>
      </c>
      <c r="H474" t="s">
        <v>36</v>
      </c>
      <c r="I474">
        <v>128788</v>
      </c>
      <c r="J474">
        <v>4</v>
      </c>
      <c r="K474">
        <v>3.6</v>
      </c>
      <c r="L474">
        <v>2</v>
      </c>
      <c r="M474" t="s">
        <v>80</v>
      </c>
    </row>
    <row r="475" spans="1:13" x14ac:dyDescent="0.3">
      <c r="A475" t="s">
        <v>826</v>
      </c>
      <c r="B475" t="s">
        <v>692</v>
      </c>
      <c r="C475" t="s">
        <v>103</v>
      </c>
      <c r="D475" t="s">
        <v>116</v>
      </c>
      <c r="E475" t="s">
        <v>17</v>
      </c>
      <c r="F475" t="s">
        <v>18</v>
      </c>
      <c r="G475" t="s">
        <v>54</v>
      </c>
      <c r="H475" t="s">
        <v>29</v>
      </c>
      <c r="I475">
        <v>702</v>
      </c>
      <c r="J475">
        <v>1</v>
      </c>
      <c r="K475">
        <v>3.3</v>
      </c>
      <c r="L475">
        <v>2</v>
      </c>
      <c r="M475" t="s">
        <v>47</v>
      </c>
    </row>
    <row r="476" spans="1:13" x14ac:dyDescent="0.3">
      <c r="A476" t="s">
        <v>827</v>
      </c>
      <c r="B476" t="s">
        <v>593</v>
      </c>
      <c r="C476" t="s">
        <v>58</v>
      </c>
      <c r="D476" t="s">
        <v>16</v>
      </c>
      <c r="E476" t="s">
        <v>17</v>
      </c>
      <c r="F476" t="s">
        <v>53</v>
      </c>
      <c r="G476" t="s">
        <v>104</v>
      </c>
      <c r="H476" t="s">
        <v>20</v>
      </c>
      <c r="I476">
        <v>6012</v>
      </c>
      <c r="J476">
        <v>4</v>
      </c>
      <c r="K476">
        <v>3.4</v>
      </c>
      <c r="L476">
        <v>5</v>
      </c>
      <c r="M476" t="s">
        <v>80</v>
      </c>
    </row>
    <row r="477" spans="1:13" x14ac:dyDescent="0.3">
      <c r="A477" t="s">
        <v>828</v>
      </c>
      <c r="B477" t="s">
        <v>829</v>
      </c>
      <c r="C477" t="s">
        <v>78</v>
      </c>
      <c r="D477" t="s">
        <v>79</v>
      </c>
      <c r="E477" t="s">
        <v>26</v>
      </c>
      <c r="F477" t="s">
        <v>18</v>
      </c>
      <c r="G477" t="s">
        <v>54</v>
      </c>
      <c r="H477" t="s">
        <v>20</v>
      </c>
      <c r="I477">
        <v>7876</v>
      </c>
      <c r="J477">
        <v>2</v>
      </c>
      <c r="K477">
        <v>4.9000000000000004</v>
      </c>
      <c r="L477">
        <v>3</v>
      </c>
      <c r="M477" t="s">
        <v>65</v>
      </c>
    </row>
    <row r="478" spans="1:13" x14ac:dyDescent="0.3">
      <c r="A478" t="s">
        <v>830</v>
      </c>
      <c r="B478" t="s">
        <v>799</v>
      </c>
      <c r="C478" t="s">
        <v>133</v>
      </c>
      <c r="D478" t="s">
        <v>69</v>
      </c>
      <c r="E478" t="s">
        <v>26</v>
      </c>
      <c r="F478" t="s">
        <v>18</v>
      </c>
      <c r="G478" t="s">
        <v>104</v>
      </c>
      <c r="H478" t="s">
        <v>36</v>
      </c>
      <c r="I478">
        <v>21057</v>
      </c>
      <c r="J478">
        <v>3</v>
      </c>
      <c r="K478">
        <v>4</v>
      </c>
      <c r="L478">
        <v>4</v>
      </c>
      <c r="M478" t="s">
        <v>55</v>
      </c>
    </row>
    <row r="479" spans="1:13" x14ac:dyDescent="0.3">
      <c r="A479" t="s">
        <v>831</v>
      </c>
      <c r="B479" t="s">
        <v>729</v>
      </c>
      <c r="C479" t="s">
        <v>68</v>
      </c>
      <c r="D479" t="s">
        <v>41</v>
      </c>
      <c r="E479" t="s">
        <v>42</v>
      </c>
      <c r="F479" t="s">
        <v>60</v>
      </c>
      <c r="G479" t="s">
        <v>104</v>
      </c>
      <c r="H479" t="s">
        <v>64</v>
      </c>
      <c r="I479">
        <v>15792</v>
      </c>
      <c r="J479">
        <v>3</v>
      </c>
      <c r="K479">
        <v>3.3</v>
      </c>
      <c r="L479">
        <v>8</v>
      </c>
      <c r="M479" t="s">
        <v>65</v>
      </c>
    </row>
    <row r="480" spans="1:13" x14ac:dyDescent="0.3">
      <c r="A480" t="s">
        <v>832</v>
      </c>
      <c r="B480" t="s">
        <v>833</v>
      </c>
      <c r="C480" t="s">
        <v>129</v>
      </c>
      <c r="D480" t="s">
        <v>59</v>
      </c>
      <c r="E480" t="s">
        <v>26</v>
      </c>
      <c r="F480" t="s">
        <v>83</v>
      </c>
      <c r="G480" t="s">
        <v>54</v>
      </c>
      <c r="H480" t="s">
        <v>64</v>
      </c>
      <c r="I480">
        <v>31144</v>
      </c>
      <c r="J480">
        <v>8</v>
      </c>
      <c r="K480">
        <v>4.7</v>
      </c>
      <c r="L480">
        <v>8</v>
      </c>
      <c r="M480" t="s">
        <v>119</v>
      </c>
    </row>
    <row r="481" spans="1:13" x14ac:dyDescent="0.3">
      <c r="A481" t="s">
        <v>834</v>
      </c>
      <c r="B481" t="s">
        <v>82</v>
      </c>
      <c r="C481" t="s">
        <v>75</v>
      </c>
      <c r="D481" t="s">
        <v>116</v>
      </c>
      <c r="E481" t="s">
        <v>17</v>
      </c>
      <c r="F481" t="s">
        <v>53</v>
      </c>
      <c r="G481" t="s">
        <v>19</v>
      </c>
      <c r="H481" t="s">
        <v>29</v>
      </c>
      <c r="I481">
        <v>1088</v>
      </c>
      <c r="J481">
        <v>2</v>
      </c>
      <c r="K481">
        <v>5</v>
      </c>
      <c r="L481">
        <v>3</v>
      </c>
      <c r="M481" t="s">
        <v>47</v>
      </c>
    </row>
    <row r="482" spans="1:13" x14ac:dyDescent="0.3">
      <c r="A482" t="s">
        <v>835</v>
      </c>
      <c r="B482" t="s">
        <v>203</v>
      </c>
      <c r="C482" t="s">
        <v>129</v>
      </c>
      <c r="D482" t="s">
        <v>51</v>
      </c>
      <c r="E482" t="s">
        <v>52</v>
      </c>
      <c r="F482" t="s">
        <v>60</v>
      </c>
      <c r="G482" t="s">
        <v>28</v>
      </c>
      <c r="H482" t="s">
        <v>64</v>
      </c>
      <c r="I482">
        <v>9176</v>
      </c>
      <c r="J482">
        <v>4</v>
      </c>
      <c r="K482">
        <v>3.7</v>
      </c>
      <c r="L482">
        <v>7</v>
      </c>
      <c r="M482" t="s">
        <v>80</v>
      </c>
    </row>
    <row r="483" spans="1:13" x14ac:dyDescent="0.3">
      <c r="A483" t="s">
        <v>836</v>
      </c>
      <c r="B483" t="s">
        <v>837</v>
      </c>
      <c r="C483" t="s">
        <v>15</v>
      </c>
      <c r="D483" t="s">
        <v>59</v>
      </c>
      <c r="E483" t="s">
        <v>26</v>
      </c>
      <c r="F483" t="s">
        <v>18</v>
      </c>
      <c r="G483" t="s">
        <v>54</v>
      </c>
      <c r="H483" t="s">
        <v>36</v>
      </c>
      <c r="I483">
        <v>71576</v>
      </c>
      <c r="J483">
        <v>8</v>
      </c>
      <c r="K483">
        <v>3.6</v>
      </c>
      <c r="L483">
        <v>3</v>
      </c>
      <c r="M483" t="s">
        <v>80</v>
      </c>
    </row>
    <row r="484" spans="1:13" x14ac:dyDescent="0.3">
      <c r="A484" t="s">
        <v>838</v>
      </c>
      <c r="B484" t="s">
        <v>393</v>
      </c>
      <c r="C484" t="s">
        <v>112</v>
      </c>
      <c r="D484" t="s">
        <v>41</v>
      </c>
      <c r="E484" t="s">
        <v>42</v>
      </c>
      <c r="F484" t="s">
        <v>60</v>
      </c>
      <c r="G484" t="s">
        <v>28</v>
      </c>
      <c r="H484" t="s">
        <v>20</v>
      </c>
      <c r="I484">
        <v>22260</v>
      </c>
      <c r="J484">
        <v>7</v>
      </c>
      <c r="K484">
        <v>4.3</v>
      </c>
      <c r="L484">
        <v>2</v>
      </c>
      <c r="M484" t="s">
        <v>37</v>
      </c>
    </row>
    <row r="485" spans="1:13" x14ac:dyDescent="0.3">
      <c r="A485" t="s">
        <v>839</v>
      </c>
      <c r="B485" t="s">
        <v>579</v>
      </c>
      <c r="C485" t="s">
        <v>133</v>
      </c>
      <c r="D485" t="s">
        <v>97</v>
      </c>
      <c r="E485" t="s">
        <v>35</v>
      </c>
      <c r="F485" t="s">
        <v>18</v>
      </c>
      <c r="G485" t="s">
        <v>28</v>
      </c>
      <c r="H485" t="s">
        <v>64</v>
      </c>
      <c r="I485">
        <v>366740</v>
      </c>
      <c r="J485">
        <v>5</v>
      </c>
      <c r="K485">
        <v>4.9000000000000004</v>
      </c>
      <c r="L485">
        <v>1</v>
      </c>
      <c r="M485" t="s">
        <v>65</v>
      </c>
    </row>
    <row r="486" spans="1:13" x14ac:dyDescent="0.3">
      <c r="A486" t="s">
        <v>840</v>
      </c>
      <c r="B486" t="s">
        <v>841</v>
      </c>
      <c r="C486" t="s">
        <v>24</v>
      </c>
      <c r="D486" t="s">
        <v>97</v>
      </c>
      <c r="E486" t="s">
        <v>35</v>
      </c>
      <c r="F486" t="s">
        <v>60</v>
      </c>
      <c r="G486" t="s">
        <v>28</v>
      </c>
      <c r="H486" t="s">
        <v>20</v>
      </c>
      <c r="I486">
        <v>205456</v>
      </c>
      <c r="J486">
        <v>8</v>
      </c>
      <c r="K486">
        <v>4.7</v>
      </c>
      <c r="L486">
        <v>5</v>
      </c>
      <c r="M486" t="s">
        <v>47</v>
      </c>
    </row>
    <row r="487" spans="1:13" x14ac:dyDescent="0.3">
      <c r="A487" t="s">
        <v>842</v>
      </c>
      <c r="B487" t="s">
        <v>843</v>
      </c>
      <c r="C487" t="s">
        <v>112</v>
      </c>
      <c r="D487" t="s">
        <v>97</v>
      </c>
      <c r="E487" t="s">
        <v>35</v>
      </c>
      <c r="F487" t="s">
        <v>18</v>
      </c>
      <c r="G487" t="s">
        <v>28</v>
      </c>
      <c r="H487" t="s">
        <v>29</v>
      </c>
      <c r="I487">
        <v>150170</v>
      </c>
      <c r="J487">
        <v>2</v>
      </c>
      <c r="K487">
        <v>4</v>
      </c>
      <c r="L487">
        <v>3</v>
      </c>
      <c r="M487" t="s">
        <v>65</v>
      </c>
    </row>
    <row r="488" spans="1:13" x14ac:dyDescent="0.3">
      <c r="A488" t="s">
        <v>844</v>
      </c>
      <c r="B488" t="s">
        <v>595</v>
      </c>
      <c r="C488" t="s">
        <v>129</v>
      </c>
      <c r="D488" t="s">
        <v>90</v>
      </c>
      <c r="E488" t="s">
        <v>42</v>
      </c>
      <c r="F488" t="s">
        <v>27</v>
      </c>
      <c r="G488" t="s">
        <v>54</v>
      </c>
      <c r="H488" t="s">
        <v>29</v>
      </c>
      <c r="I488">
        <v>5580</v>
      </c>
      <c r="J488">
        <v>6</v>
      </c>
      <c r="K488">
        <v>3.3</v>
      </c>
      <c r="L488">
        <v>6</v>
      </c>
      <c r="M488" t="s">
        <v>192</v>
      </c>
    </row>
    <row r="489" spans="1:13" x14ac:dyDescent="0.3">
      <c r="A489" t="s">
        <v>845</v>
      </c>
      <c r="B489" t="s">
        <v>846</v>
      </c>
      <c r="C489" t="s">
        <v>40</v>
      </c>
      <c r="D489" t="s">
        <v>41</v>
      </c>
      <c r="E489" t="s">
        <v>42</v>
      </c>
      <c r="F489" t="s">
        <v>100</v>
      </c>
      <c r="G489" t="s">
        <v>54</v>
      </c>
      <c r="H489" t="s">
        <v>36</v>
      </c>
      <c r="I489">
        <v>6972</v>
      </c>
      <c r="J489">
        <v>6</v>
      </c>
      <c r="K489">
        <v>3.6</v>
      </c>
      <c r="L489">
        <v>4</v>
      </c>
      <c r="M489" t="s">
        <v>47</v>
      </c>
    </row>
    <row r="490" spans="1:13" x14ac:dyDescent="0.3">
      <c r="A490" t="s">
        <v>847</v>
      </c>
      <c r="B490" t="s">
        <v>156</v>
      </c>
      <c r="C490" t="s">
        <v>58</v>
      </c>
      <c r="D490" t="s">
        <v>113</v>
      </c>
      <c r="E490" t="s">
        <v>35</v>
      </c>
      <c r="F490" t="s">
        <v>100</v>
      </c>
      <c r="G490" t="s">
        <v>28</v>
      </c>
      <c r="H490" t="s">
        <v>29</v>
      </c>
      <c r="I490">
        <v>135732</v>
      </c>
      <c r="J490">
        <v>3</v>
      </c>
      <c r="K490">
        <v>4.4000000000000004</v>
      </c>
      <c r="L490">
        <v>7</v>
      </c>
      <c r="M490" t="s">
        <v>126</v>
      </c>
    </row>
    <row r="491" spans="1:13" x14ac:dyDescent="0.3">
      <c r="A491" t="s">
        <v>848</v>
      </c>
      <c r="B491" t="s">
        <v>543</v>
      </c>
      <c r="C491" t="s">
        <v>68</v>
      </c>
      <c r="D491" t="s">
        <v>116</v>
      </c>
      <c r="E491" t="s">
        <v>17</v>
      </c>
      <c r="F491" t="s">
        <v>27</v>
      </c>
      <c r="G491" t="s">
        <v>19</v>
      </c>
      <c r="H491" t="s">
        <v>29</v>
      </c>
      <c r="I491">
        <v>948</v>
      </c>
      <c r="J491">
        <v>1</v>
      </c>
      <c r="K491">
        <v>4.2</v>
      </c>
      <c r="L491">
        <v>8</v>
      </c>
      <c r="M491" t="s">
        <v>30</v>
      </c>
    </row>
    <row r="492" spans="1:13" x14ac:dyDescent="0.3">
      <c r="A492" t="s">
        <v>849</v>
      </c>
      <c r="B492" t="s">
        <v>415</v>
      </c>
      <c r="C492" t="s">
        <v>78</v>
      </c>
      <c r="D492" t="s">
        <v>46</v>
      </c>
      <c r="E492" t="s">
        <v>42</v>
      </c>
      <c r="F492" t="s">
        <v>83</v>
      </c>
      <c r="G492" t="s">
        <v>104</v>
      </c>
      <c r="H492" t="s">
        <v>29</v>
      </c>
      <c r="I492">
        <v>23855</v>
      </c>
      <c r="J492">
        <v>5</v>
      </c>
      <c r="K492">
        <v>4.7</v>
      </c>
      <c r="L492">
        <v>2</v>
      </c>
      <c r="M492" t="s">
        <v>80</v>
      </c>
    </row>
    <row r="493" spans="1:13" x14ac:dyDescent="0.3">
      <c r="A493" t="s">
        <v>850</v>
      </c>
      <c r="B493" t="s">
        <v>252</v>
      </c>
      <c r="C493" t="s">
        <v>58</v>
      </c>
      <c r="D493" t="s">
        <v>218</v>
      </c>
      <c r="E493" t="s">
        <v>17</v>
      </c>
      <c r="F493" t="s">
        <v>100</v>
      </c>
      <c r="G493" t="s">
        <v>28</v>
      </c>
      <c r="H493" t="s">
        <v>64</v>
      </c>
      <c r="I493">
        <v>5334</v>
      </c>
      <c r="J493">
        <v>7</v>
      </c>
      <c r="K493">
        <v>3.8</v>
      </c>
      <c r="L493">
        <v>2</v>
      </c>
      <c r="M493" t="s">
        <v>30</v>
      </c>
    </row>
    <row r="494" spans="1:13" x14ac:dyDescent="0.3">
      <c r="A494" t="s">
        <v>851</v>
      </c>
      <c r="B494" t="s">
        <v>263</v>
      </c>
      <c r="C494" t="s">
        <v>103</v>
      </c>
      <c r="D494" t="s">
        <v>109</v>
      </c>
      <c r="E494" t="s">
        <v>52</v>
      </c>
      <c r="F494" t="s">
        <v>100</v>
      </c>
      <c r="G494" t="s">
        <v>28</v>
      </c>
      <c r="H494" t="s">
        <v>20</v>
      </c>
      <c r="I494">
        <v>7390</v>
      </c>
      <c r="J494">
        <v>5</v>
      </c>
      <c r="K494">
        <v>3.6</v>
      </c>
      <c r="L494">
        <v>7</v>
      </c>
      <c r="M494" t="s">
        <v>87</v>
      </c>
    </row>
    <row r="495" spans="1:13" x14ac:dyDescent="0.3">
      <c r="A495" t="s">
        <v>852</v>
      </c>
      <c r="B495" t="s">
        <v>424</v>
      </c>
      <c r="C495" t="s">
        <v>58</v>
      </c>
      <c r="D495" t="s">
        <v>86</v>
      </c>
      <c r="E495" t="s">
        <v>17</v>
      </c>
      <c r="F495" t="s">
        <v>27</v>
      </c>
      <c r="G495" t="s">
        <v>54</v>
      </c>
      <c r="H495" t="s">
        <v>20</v>
      </c>
      <c r="I495">
        <v>5888</v>
      </c>
      <c r="J495">
        <v>8</v>
      </c>
      <c r="K495">
        <v>4.7</v>
      </c>
      <c r="L495">
        <v>7</v>
      </c>
      <c r="M495" t="s">
        <v>30</v>
      </c>
    </row>
    <row r="496" spans="1:13" x14ac:dyDescent="0.3">
      <c r="A496" t="s">
        <v>853</v>
      </c>
      <c r="B496" t="s">
        <v>837</v>
      </c>
      <c r="C496" t="s">
        <v>179</v>
      </c>
      <c r="D496" t="s">
        <v>97</v>
      </c>
      <c r="E496" t="s">
        <v>35</v>
      </c>
      <c r="F496" t="s">
        <v>60</v>
      </c>
      <c r="G496" t="s">
        <v>104</v>
      </c>
      <c r="H496" t="s">
        <v>29</v>
      </c>
      <c r="I496">
        <v>238268</v>
      </c>
      <c r="J496">
        <v>4</v>
      </c>
      <c r="K496">
        <v>4.7</v>
      </c>
      <c r="L496">
        <v>2</v>
      </c>
      <c r="M496" t="s">
        <v>80</v>
      </c>
    </row>
    <row r="497" spans="1:13" x14ac:dyDescent="0.3">
      <c r="A497" t="s">
        <v>854</v>
      </c>
      <c r="B497" t="s">
        <v>833</v>
      </c>
      <c r="C497" t="s">
        <v>146</v>
      </c>
      <c r="D497" t="s">
        <v>109</v>
      </c>
      <c r="E497" t="s">
        <v>52</v>
      </c>
      <c r="F497" t="s">
        <v>60</v>
      </c>
      <c r="G497" t="s">
        <v>28</v>
      </c>
      <c r="H497" t="s">
        <v>64</v>
      </c>
      <c r="I497">
        <v>4904</v>
      </c>
      <c r="J497">
        <v>4</v>
      </c>
      <c r="K497">
        <v>3.2</v>
      </c>
      <c r="L497">
        <v>5</v>
      </c>
      <c r="M497" t="s">
        <v>119</v>
      </c>
    </row>
    <row r="498" spans="1:13" x14ac:dyDescent="0.3">
      <c r="A498" t="s">
        <v>855</v>
      </c>
      <c r="B498" t="s">
        <v>487</v>
      </c>
      <c r="C498" t="s">
        <v>125</v>
      </c>
      <c r="D498" t="s">
        <v>86</v>
      </c>
      <c r="E498" t="s">
        <v>17</v>
      </c>
      <c r="F498" t="s">
        <v>18</v>
      </c>
      <c r="G498" t="s">
        <v>54</v>
      </c>
      <c r="H498" t="s">
        <v>36</v>
      </c>
      <c r="I498">
        <v>2895</v>
      </c>
      <c r="J498">
        <v>5</v>
      </c>
      <c r="K498">
        <v>4.2</v>
      </c>
      <c r="L498">
        <v>1</v>
      </c>
      <c r="M498" t="s">
        <v>80</v>
      </c>
    </row>
    <row r="499" spans="1:13" x14ac:dyDescent="0.3">
      <c r="A499" t="s">
        <v>856</v>
      </c>
      <c r="B499" t="s">
        <v>187</v>
      </c>
      <c r="C499" t="s">
        <v>112</v>
      </c>
      <c r="D499" t="s">
        <v>165</v>
      </c>
      <c r="E499" t="s">
        <v>35</v>
      </c>
      <c r="F499" t="s">
        <v>27</v>
      </c>
      <c r="G499" t="s">
        <v>104</v>
      </c>
      <c r="H499" t="s">
        <v>64</v>
      </c>
      <c r="I499">
        <v>28672</v>
      </c>
      <c r="J499">
        <v>2</v>
      </c>
      <c r="K499">
        <v>3.6</v>
      </c>
      <c r="L499">
        <v>2</v>
      </c>
      <c r="M499" t="s">
        <v>126</v>
      </c>
    </row>
    <row r="500" spans="1:13" x14ac:dyDescent="0.3">
      <c r="A500" t="s">
        <v>857</v>
      </c>
      <c r="B500" t="s">
        <v>250</v>
      </c>
      <c r="C500" t="s">
        <v>72</v>
      </c>
      <c r="D500" t="s">
        <v>86</v>
      </c>
      <c r="E500" t="s">
        <v>17</v>
      </c>
      <c r="F500" t="s">
        <v>18</v>
      </c>
      <c r="G500" t="s">
        <v>19</v>
      </c>
      <c r="H500" t="s">
        <v>20</v>
      </c>
      <c r="I500">
        <v>1882</v>
      </c>
      <c r="J500">
        <v>2</v>
      </c>
      <c r="K500">
        <v>4.9000000000000004</v>
      </c>
      <c r="L500">
        <v>4</v>
      </c>
      <c r="M500" t="s">
        <v>192</v>
      </c>
    </row>
    <row r="501" spans="1:13" x14ac:dyDescent="0.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Jancy N</cp:lastModifiedBy>
  <dcterms:created xsi:type="dcterms:W3CDTF">2026-09-04T11:04:00Z</dcterms:created>
  <dcterms:modified xsi:type="dcterms:W3CDTF">2026-09-27T22:10:34Z</dcterms:modified>
</cp:coreProperties>
</file>